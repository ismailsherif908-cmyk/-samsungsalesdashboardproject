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D6ADC6F-1652-4ACA-B9B5-A95F9D39AC98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Dashboard" sheetId="1" r:id="rId1"/>
    <sheet name="Business Questions" sheetId="2" r:id="rId2"/>
    <sheet name="Data" sheetId="3" r:id="rId3"/>
    <sheet name="Calc" sheetId="4" state="hidden" r:id="rId4"/>
    <sheet name="Lists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" i="4" l="1"/>
  <c r="T16" i="4" s="1"/>
  <c r="F66" i="1" s="1"/>
  <c r="R16" i="4"/>
  <c r="Q16" i="4"/>
  <c r="H16" i="4"/>
  <c r="S15" i="4"/>
  <c r="T15" i="4" s="1"/>
  <c r="F65" i="1" s="1"/>
  <c r="R15" i="4"/>
  <c r="Q15" i="4"/>
  <c r="H15" i="4"/>
  <c r="S14" i="4"/>
  <c r="T14" i="4" s="1"/>
  <c r="F64" i="1" s="1"/>
  <c r="R14" i="4"/>
  <c r="Q14" i="4"/>
  <c r="H14" i="4"/>
  <c r="S13" i="4"/>
  <c r="T13" i="4" s="1"/>
  <c r="F63" i="1" s="1"/>
  <c r="R13" i="4"/>
  <c r="Q13" i="4"/>
  <c r="H13" i="4"/>
  <c r="S12" i="4"/>
  <c r="T12" i="4" s="1"/>
  <c r="F62" i="1" s="1"/>
  <c r="R12" i="4"/>
  <c r="Q12" i="4"/>
  <c r="H12" i="4"/>
  <c r="S11" i="4"/>
  <c r="T11" i="4" s="1"/>
  <c r="F61" i="1" s="1"/>
  <c r="R11" i="4"/>
  <c r="D61" i="1" s="1"/>
  <c r="Q11" i="4"/>
  <c r="H11" i="4"/>
  <c r="S10" i="4"/>
  <c r="T10" i="4" s="1"/>
  <c r="F60" i="1" s="1"/>
  <c r="R10" i="4"/>
  <c r="Q10" i="4"/>
  <c r="H10" i="4"/>
  <c r="S9" i="4"/>
  <c r="E59" i="1" s="1"/>
  <c r="R9" i="4"/>
  <c r="Q9" i="4"/>
  <c r="H9" i="4"/>
  <c r="S8" i="4"/>
  <c r="E58" i="1" s="1"/>
  <c r="R8" i="4"/>
  <c r="Q8" i="4"/>
  <c r="H8" i="4"/>
  <c r="S7" i="4"/>
  <c r="T7" i="4" s="1"/>
  <c r="F57" i="1" s="1"/>
  <c r="R7" i="4"/>
  <c r="Q7" i="4"/>
  <c r="H7" i="4"/>
  <c r="B7" i="4"/>
  <c r="S6" i="4"/>
  <c r="T6" i="4" s="1"/>
  <c r="F56" i="1" s="1"/>
  <c r="R6" i="4"/>
  <c r="D56" i="1" s="1"/>
  <c r="Q6" i="4"/>
  <c r="N6" i="4"/>
  <c r="D11" i="1" s="1"/>
  <c r="H6" i="4"/>
  <c r="E6" i="4"/>
  <c r="B6" i="4"/>
  <c r="S5" i="4"/>
  <c r="T5" i="4" s="1"/>
  <c r="F55" i="1" s="1"/>
  <c r="R5" i="4"/>
  <c r="D55" i="1" s="1"/>
  <c r="Q5" i="4"/>
  <c r="N5" i="4"/>
  <c r="E9" i="1" s="1"/>
  <c r="H5" i="4"/>
  <c r="E5" i="4"/>
  <c r="B5" i="4"/>
  <c r="S4" i="4"/>
  <c r="E54" i="1" s="1"/>
  <c r="R4" i="4"/>
  <c r="Q4" i="4"/>
  <c r="N4" i="4"/>
  <c r="D9" i="1" s="1"/>
  <c r="H4" i="4"/>
  <c r="E4" i="4"/>
  <c r="B4" i="4"/>
  <c r="S3" i="4"/>
  <c r="T3" i="4" s="1"/>
  <c r="F53" i="1" s="1"/>
  <c r="R3" i="4"/>
  <c r="D53" i="1" s="1"/>
  <c r="Q3" i="4"/>
  <c r="N3" i="4"/>
  <c r="C9" i="1" s="1"/>
  <c r="K3" i="4"/>
  <c r="H3" i="4"/>
  <c r="E3" i="4"/>
  <c r="B3" i="4"/>
  <c r="S2" i="4"/>
  <c r="E52" i="1" s="1"/>
  <c r="R2" i="4"/>
  <c r="D52" i="1" s="1"/>
  <c r="Q2" i="4"/>
  <c r="C52" i="1" s="1"/>
  <c r="N2" i="4"/>
  <c r="B9" i="1" s="1"/>
  <c r="K2" i="4"/>
  <c r="H2" i="4"/>
  <c r="E2" i="4"/>
  <c r="B2" i="4"/>
  <c r="E66" i="1"/>
  <c r="D66" i="1"/>
  <c r="C66" i="1"/>
  <c r="B66" i="1"/>
  <c r="E65" i="1"/>
  <c r="D65" i="1"/>
  <c r="C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C61" i="1"/>
  <c r="B61" i="1"/>
  <c r="E60" i="1"/>
  <c r="D60" i="1"/>
  <c r="C60" i="1"/>
  <c r="B60" i="1"/>
  <c r="D59" i="1"/>
  <c r="C59" i="1"/>
  <c r="B59" i="1"/>
  <c r="D58" i="1"/>
  <c r="C58" i="1"/>
  <c r="B58" i="1"/>
  <c r="E57" i="1"/>
  <c r="D57" i="1"/>
  <c r="C57" i="1"/>
  <c r="B57" i="1"/>
  <c r="C56" i="1"/>
  <c r="B56" i="1"/>
  <c r="C55" i="1"/>
  <c r="B55" i="1"/>
  <c r="D54" i="1"/>
  <c r="C54" i="1"/>
  <c r="B54" i="1"/>
  <c r="C53" i="1"/>
  <c r="B53" i="1"/>
  <c r="B52" i="1"/>
  <c r="T2" i="4" l="1"/>
  <c r="F52" i="1" s="1"/>
  <c r="E55" i="1"/>
  <c r="E56" i="1"/>
  <c r="T4" i="4"/>
  <c r="F54" i="1" s="1"/>
  <c r="T8" i="4"/>
  <c r="F58" i="1" s="1"/>
  <c r="T9" i="4"/>
  <c r="F59" i="1" s="1"/>
  <c r="E53" i="1"/>
</calcChain>
</file>

<file path=xl/sharedStrings.xml><?xml version="1.0" encoding="utf-8"?>
<sst xmlns="http://schemas.openxmlformats.org/spreadsheetml/2006/main" count="1962" uniqueCount="124">
  <si>
    <t>Samsung Galaxy — Sales &amp; 5G Dashboard</t>
  </si>
  <si>
    <t>Use the filters below to update every chart and KPI instantly</t>
  </si>
  <si>
    <t>Year</t>
  </si>
  <si>
    <t>Region</t>
  </si>
  <si>
    <t>5G Capability</t>
  </si>
  <si>
    <t>Model</t>
  </si>
  <si>
    <t>All</t>
  </si>
  <si>
    <t>Total Revenue</t>
  </si>
  <si>
    <t>Total Units Sold</t>
  </si>
  <si>
    <t>Avg 5G Preference</t>
  </si>
  <si>
    <t>Avg Market Share</t>
  </si>
  <si>
    <t>Matching records:</t>
  </si>
  <si>
    <t>Revenue by Year</t>
  </si>
  <si>
    <t>Units Sold by Region</t>
  </si>
  <si>
    <t>Top Models by Revenue</t>
  </si>
  <si>
    <t>5G vs Non-5G (Units Sold)</t>
  </si>
  <si>
    <t>Model Summary (based on current filters)</t>
  </si>
  <si>
    <t>5G</t>
  </si>
  <si>
    <t>Total Units</t>
  </si>
  <si>
    <t>Avg Price/Unit</t>
  </si>
  <si>
    <t>Business Questions — Samsung Galaxy Sales</t>
  </si>
  <si>
    <t>Question</t>
  </si>
  <si>
    <t>Method</t>
  </si>
  <si>
    <t>Result</t>
  </si>
  <si>
    <t>Insight</t>
  </si>
  <si>
    <t>Which model generated the highest total revenue?</t>
  </si>
  <si>
    <t>SUM(Revenue) GROUP BY Product Model (n=24/model)</t>
  </si>
  <si>
    <t>Galaxy A14 5G = $913M, followed by S23 5G = $895M</t>
  </si>
  <si>
    <t>The A-series makes up for lower price with higher sales volume</t>
  </si>
  <si>
    <t>Which region has the highest number of units sold?</t>
  </si>
  <si>
    <t>SUM(Units Sold) GROUP BY Region</t>
  </si>
  <si>
    <t>North America = 2.70M units, highest of all regions</t>
  </si>
  <si>
    <t>Biggest market by volume, despite not leading in 5G preference</t>
  </si>
  <si>
    <t>How did revenue trend year over year (2019-2024)?</t>
  </si>
  <si>
    <t>SUM(Revenue) GROUP BY Year (n=60/year)</t>
  </si>
  <si>
    <t>Peak in 2020 ($1.96B) -&gt; trough in 2023 ($1.53B) -&gt; rebound in 2024 ($1.92B)</t>
  </si>
  <si>
    <t>A decline-then-recovery pattern, not steady growth</t>
  </si>
  <si>
    <t>Do 5G-capable phones sell more than non-5G phones?</t>
  </si>
  <si>
    <t>AVG/SUM(Units, Revenue) GROUP BY 5G Capability (n=240 vs 120)</t>
  </si>
  <si>
    <t>5G: avg 35,667 units/row - Non-5G: avg 26,605 units/row</t>
  </si>
  <si>
    <t>5G devices sell about 34% more units on average</t>
  </si>
  <si>
    <t>Which region shows the highest customer preference for 5G?</t>
  </si>
  <si>
    <t>AVG(Preference for 5G %) GROUP BY Region</t>
  </si>
  <si>
    <t>Latin America = 68.7%, highest of all regions</t>
  </si>
  <si>
    <t>Preference doesn't necessarily track with sales volume</t>
  </si>
  <si>
    <t>Does 5G network coverage affect sales?</t>
  </si>
  <si>
    <t>CORREL(Regional 5G Coverage %, Units Sold)</t>
  </si>
  <si>
    <t>Correlation coefficient = 0.106 (very weak)</t>
  </si>
  <si>
    <t>Coverage alone is not a decisive factor in sales</t>
  </si>
  <si>
    <t>Which quarter (Q1-Q4) performs best?</t>
  </si>
  <si>
    <t>AVG(Units, Revenue) GROUP BY Quarter (n=90/quarter)</t>
  </si>
  <si>
    <t>Q3 has the highest units sold, but Q1 has the highest revenue</t>
  </si>
  <si>
    <t>More units sell in Q3, but at a lower average price</t>
  </si>
  <si>
    <t>Which model has the highest average price per unit?</t>
  </si>
  <si>
    <t>SUM(Revenue)/SUM(Units) per model</t>
  </si>
  <si>
    <t>Galaxy S22 5G = $1,237/unit, highest of all models</t>
  </si>
  <si>
    <t>The S-series is the most expensive in practice, despite not leading in total revenue</t>
  </si>
  <si>
    <t>Quarter</t>
  </si>
  <si>
    <t>Product Model</t>
  </si>
  <si>
    <t>Units Sold</t>
  </si>
  <si>
    <t>Revenue ($)</t>
  </si>
  <si>
    <t>Market Share (%)</t>
  </si>
  <si>
    <t>Regional 5G Coverage (%)</t>
  </si>
  <si>
    <t>5G Subscribers (millions)</t>
  </si>
  <si>
    <t>Avg 5G Speed (Mbps)</t>
  </si>
  <si>
    <t>Preference for 5G (%)</t>
  </si>
  <si>
    <t>Period</t>
  </si>
  <si>
    <t>Q1</t>
  </si>
  <si>
    <t>Galaxy S10</t>
  </si>
  <si>
    <t>No</t>
  </si>
  <si>
    <t>Asia-Pacific</t>
  </si>
  <si>
    <t>2019-Q1</t>
  </si>
  <si>
    <t>Galaxy Note10</t>
  </si>
  <si>
    <t>Latin America</t>
  </si>
  <si>
    <t>Galaxy S20</t>
  </si>
  <si>
    <t>Middle East &amp; Africa</t>
  </si>
  <si>
    <t>Galaxy Note20</t>
  </si>
  <si>
    <t>North America</t>
  </si>
  <si>
    <t>Galaxy S21</t>
  </si>
  <si>
    <t>Galaxy A32 5G</t>
  </si>
  <si>
    <t>Yes</t>
  </si>
  <si>
    <t>Galaxy A52 5G</t>
  </si>
  <si>
    <t>Galaxy A73 5G</t>
  </si>
  <si>
    <t>Europe</t>
  </si>
  <si>
    <t>Galaxy Z Fold2 5G</t>
  </si>
  <si>
    <t>Galaxy Z Flip3 5G</t>
  </si>
  <si>
    <t>Galaxy S22 5G</t>
  </si>
  <si>
    <t>Galaxy Z Fold3 5G</t>
  </si>
  <si>
    <t>Galaxy A14 5G</t>
  </si>
  <si>
    <t>Galaxy S23 5G</t>
  </si>
  <si>
    <t>Galaxy Z Flip5 5G</t>
  </si>
  <si>
    <t>Q2</t>
  </si>
  <si>
    <t>2019-Q2</t>
  </si>
  <si>
    <t>Q3</t>
  </si>
  <si>
    <t>2019-Q3</t>
  </si>
  <si>
    <t>Q4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</si>
  <si>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</si>
  <si>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</si>
  <si>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</si>
  <si>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</si>
  <si>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</si>
  <si>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</si>
  <si>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</si>
  <si>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</si>
  <si>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</si>
  <si>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</si>
  <si>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</si>
  <si>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</si>
  <si>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</si>
  <si>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</si>
  <si>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</si>
  <si>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</si>
  <si>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</si>
  <si>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</si>
  <si>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</si>
  <si>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</si>
  <si>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</si>
  <si>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Revenue</t>
  </si>
  <si>
    <t>Units</t>
  </si>
  <si>
    <t>KPI</t>
  </si>
  <si>
    <t>Value</t>
  </si>
  <si>
    <t>AvgPrice</t>
  </si>
  <si>
    <t>Avg Preference 5G</t>
  </si>
  <si>
    <t>Row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</si>
</sst>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0\%"/>
  </numFmts>
  <fonts count="13" x14ac:knownFonts="1">
    <font>
      <sz val="11"/>
      <color theme="1"/>
      <name val="Calibri"/>
      <family val="2"/>
      <charset val="1"/>
    </font>
    <font>
      <b/>
      <sz val="18"/>
      <color rgb="FF0E1442"/>
      <name val="Arial"/>
      <charset val="1"/>
    </font>
    <font>
      <sz val="10"/>
      <color rgb="FF6B7280"/>
      <name val="Arial"/>
      <charset val="1"/>
    </font>
    <font>
      <b/>
      <sz val="10"/>
      <color rgb="FFFFFFFF"/>
      <name val="Arial"/>
      <charset val="1"/>
    </font>
    <font>
      <b/>
      <sz val="12"/>
      <color rgb="FF1428A0"/>
      <name val="Arial"/>
      <charset val="1"/>
    </font>
    <font>
      <sz val="9"/>
      <color rgb="FF6B7280"/>
      <name val="Arial"/>
      <charset val="1"/>
    </font>
    <font>
      <b/>
      <sz val="16"/>
      <color rgb="FF0E1442"/>
      <name val="Arial"/>
      <charset val="1"/>
    </font>
    <font>
      <i/>
      <sz val="9"/>
      <color rgb="FF6B7280"/>
      <name val="Arial"/>
      <charset val="1"/>
    </font>
    <font>
      <b/>
      <i/>
      <sz val="9"/>
      <color rgb="FF0E1442"/>
      <name val="Arial"/>
      <charset val="1"/>
    </font>
    <font>
      <b/>
      <sz val="11"/>
      <color rgb="FF0E1442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4"/>
      <color rgb="FF0E144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E1442"/>
        <bgColor rgb="FF000080"/>
      </patternFill>
    </fill>
    <fill>
      <patternFill patternType="solid">
        <fgColor rgb="FFEAF0FB"/>
        <bgColor rgb="FFF7F8FC"/>
      </patternFill>
    </fill>
    <fill>
      <patternFill patternType="solid">
        <fgColor rgb="FF1428A0"/>
        <bgColor rgb="FF003366"/>
      </patternFill>
    </fill>
    <fill>
      <patternFill patternType="solid">
        <fgColor rgb="FFF7F8FC"/>
        <bgColor rgb="FFFFFFFF"/>
      </patternFill>
    </fill>
    <fill>
      <patternFill patternType="solid">
        <fgColor rgb="FFFFFFFF"/>
        <bgColor rgb="FFF7F8FC"/>
      </patternFill>
    </fill>
  </fills>
  <borders count="6">
    <border>
      <left/>
      <right/>
      <top/>
      <bottom/>
      <diagonal/>
    </border>
    <border>
      <left style="medium">
        <color rgb="FF1428A0"/>
      </left>
      <right style="medium">
        <color rgb="FF1428A0"/>
      </right>
      <top style="medium">
        <color rgb="FF1428A0"/>
      </top>
      <bottom style="medium">
        <color rgb="FF1428A0"/>
      </bottom>
      <diagonal/>
    </border>
    <border>
      <left/>
      <right/>
      <top style="thick">
        <color rgb="FF1428A0"/>
      </top>
      <bottom/>
      <diagonal/>
    </border>
    <border>
      <left/>
      <right/>
      <top style="thick">
        <color rgb="FF17A6C7"/>
      </top>
      <bottom/>
      <diagonal/>
    </border>
    <border>
      <left/>
      <right/>
      <top style="thick">
        <color rgb="FFF2A93B"/>
      </top>
      <bottom/>
      <diagonal/>
    </border>
    <border>
      <left/>
      <right/>
      <top style="thick">
        <color rgb="FF2FAE7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164" fontId="6" fillId="0" borderId="0" xfId="0" applyNumberFormat="1" applyFont="1"/>
    <xf numFmtId="3" fontId="6" fillId="0" borderId="0" xfId="0" applyNumberFormat="1" applyFont="1"/>
    <xf numFmtId="165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3" fontId="11" fillId="5" borderId="0" xfId="0" applyNumberFormat="1" applyFont="1" applyFill="1" applyAlignment="1">
      <alignment horizontal="center"/>
    </xf>
    <xf numFmtId="164" fontId="11" fillId="5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3" fontId="11" fillId="6" borderId="0" xfId="0" applyNumberFormat="1" applyFont="1" applyFill="1" applyAlignment="1">
      <alignment horizontal="center"/>
    </xf>
    <xf numFmtId="164" fontId="11" fillId="6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3" fillId="4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/>
    <xf numFmtId="0" fontId="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E1442"/>
      <rgbColor rgb="FF808000"/>
      <rgbColor rgb="FF800080"/>
      <rgbColor rgb="FF008080"/>
      <rgbColor rgb="FFB3B3B3"/>
      <rgbColor rgb="FF4F81BD"/>
      <rgbColor rgb="FF9999FF"/>
      <rgbColor rgb="FFC0504D"/>
      <rgbColor rgb="FFF7F8F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7A6C7"/>
      <rgbColor rgb="FF99CC00"/>
      <rgbColor rgb="FFFFCC00"/>
      <rgbColor rgb="FFF2A93B"/>
      <rgbColor rgb="FFFF6600"/>
      <rgbColor rgb="FF6B7280"/>
      <rgbColor rgb="FF969696"/>
      <rgbColor rgb="FF003366"/>
      <rgbColor rgb="FF2FAE79"/>
      <rgbColor rgb="FF003300"/>
      <rgbColor rgb="FF333300"/>
      <rgbColor rgb="FF993300"/>
      <rgbColor rgb="FF993366"/>
      <rgbColor rgb="FF1428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Calc!$B$1</c:f>
              <c:strCache>
                <c:ptCount val="1"/>
                <c:pt idx="0">
                  <c:v>Revenue</c:v>
                </c:pt>
              </c:strCache>
            </c:strRef>
          </c:tx>
          <c:spPr>
            <a:ln w="24840">
              <a:solidFill>
                <a:srgbClr val="1428A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Calc!$A$2:$A$7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Calc!$B$2:$B$7</c:f>
              <c:numCache>
                <c:formatCode>\$#,##0</c:formatCode>
                <c:ptCount val="6"/>
                <c:pt idx="0">
                  <c:v>72090418.780000001</c:v>
                </c:pt>
                <c:pt idx="1">
                  <c:v>105317223.27000001</c:v>
                </c:pt>
                <c:pt idx="2">
                  <c:v>103515832.51000001</c:v>
                </c:pt>
                <c:pt idx="3">
                  <c:v>46407491.840000004</c:v>
                </c:pt>
                <c:pt idx="4">
                  <c:v>66505735.780000001</c:v>
                </c:pt>
                <c:pt idx="5">
                  <c:v>128603682.70999999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81-4C57-B9BD-06E40939E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9443247"/>
        <c:axId val="31572088"/>
      </c:lineChart>
      <c:catAx>
        <c:axId val="6944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572088"/>
        <c:crosses val="autoZero"/>
        <c:auto val="1"/>
        <c:lblAlgn val="ctr"/>
        <c:lblOffset val="100"/>
        <c:noMultiLvlLbl val="0"/>
      </c:catAx>
      <c:valAx>
        <c:axId val="315720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4324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Calc!$E$1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17A6C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Calc!$D$2:$D$6</c:f>
              <c:strCache>
                <c:ptCount val="5"/>
                <c:pt idx="0">
                  <c:v>Asia-Pacific</c:v>
                </c:pt>
                <c:pt idx="1">
                  <c:v>Europe</c:v>
                </c:pt>
                <c:pt idx="2">
                  <c:v>Latin America</c:v>
                </c:pt>
                <c:pt idx="3">
                  <c:v>Middle East &amp; Africa</c:v>
                </c:pt>
                <c:pt idx="4">
                  <c:v>North America</c:v>
                </c:pt>
              </c:strCache>
            </c:strRef>
          </c:cat>
          <c:val>
            <c:numRef>
              <c:f>Calc!$E$2:$E$6</c:f>
              <c:numCache>
                <c:formatCode>#,##0</c:formatCode>
                <c:ptCount val="5"/>
                <c:pt idx="0">
                  <c:v>159813</c:v>
                </c:pt>
                <c:pt idx="1">
                  <c:v>110895</c:v>
                </c:pt>
                <c:pt idx="2">
                  <c:v>68272</c:v>
                </c:pt>
                <c:pt idx="3">
                  <c:v>82530</c:v>
                </c:pt>
                <c:pt idx="4">
                  <c:v>270543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5-4471-BB0F-5454825E5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55836"/>
        <c:axId val="25699079"/>
      </c:barChart>
      <c:catAx>
        <c:axId val="391558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699079"/>
        <c:crosses val="autoZero"/>
        <c:auto val="1"/>
        <c:lblAlgn val="ctr"/>
        <c:lblOffset val="100"/>
        <c:noMultiLvlLbl val="0"/>
      </c:catAx>
      <c:valAx>
        <c:axId val="256990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15583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Calc!$H$1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2A93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Calc!$G$2:$G$16</c:f>
              <c:strCache>
                <c:ptCount val="15"/>
                <c:pt idx="0">
                  <c:v>Galaxy S10</c:v>
                </c:pt>
                <c:pt idx="1">
                  <c:v>Galaxy Note10</c:v>
                </c:pt>
                <c:pt idx="2">
                  <c:v>Galaxy S20</c:v>
                </c:pt>
                <c:pt idx="3">
                  <c:v>Galaxy Note20</c:v>
                </c:pt>
                <c:pt idx="4">
                  <c:v>Galaxy S21</c:v>
                </c:pt>
                <c:pt idx="5">
                  <c:v>Galaxy A32 5G</c:v>
                </c:pt>
                <c:pt idx="6">
                  <c:v>Galaxy A52 5G</c:v>
                </c:pt>
                <c:pt idx="7">
                  <c:v>Galaxy A73 5G</c:v>
                </c:pt>
                <c:pt idx="8">
                  <c:v>Galaxy Z Fold2 5G</c:v>
                </c:pt>
                <c:pt idx="9">
                  <c:v>Galaxy Z Flip3 5G</c:v>
                </c:pt>
                <c:pt idx="10">
                  <c:v>Galaxy S22 5G</c:v>
                </c:pt>
                <c:pt idx="11">
                  <c:v>Galaxy Z Fold3 5G</c:v>
                </c:pt>
                <c:pt idx="12">
                  <c:v>Galaxy A14 5G</c:v>
                </c:pt>
                <c:pt idx="13">
                  <c:v>Galaxy S23 5G</c:v>
                </c:pt>
                <c:pt idx="14">
                  <c:v>Galaxy Z Flip5 5G</c:v>
                </c:pt>
              </c:strCache>
            </c:strRef>
          </c:cat>
          <c:val>
            <c:numRef>
              <c:f>Calc!$H$2:$H$16</c:f>
              <c:numCache>
                <c:formatCode>\$#,##0</c:formatCode>
                <c:ptCount val="15"/>
                <c:pt idx="0">
                  <c:v>522440384.89000005</c:v>
                </c:pt>
                <c:pt idx="1">
                  <c:v>574059943.6500001</c:v>
                </c:pt>
                <c:pt idx="2">
                  <c:v>514349659.21999991</c:v>
                </c:pt>
                <c:pt idx="3">
                  <c:v>617986264.64999998</c:v>
                </c:pt>
                <c:pt idx="4">
                  <c:v>606237536.38</c:v>
                </c:pt>
                <c:pt idx="5">
                  <c:v>716143586.89000022</c:v>
                </c:pt>
                <c:pt idx="6">
                  <c:v>863073279.51999998</c:v>
                </c:pt>
                <c:pt idx="7">
                  <c:v>773100349.05999994</c:v>
                </c:pt>
                <c:pt idx="8">
                  <c:v>824920697.29999995</c:v>
                </c:pt>
                <c:pt idx="9">
                  <c:v>765159008.17999995</c:v>
                </c:pt>
                <c:pt idx="10">
                  <c:v>870634307.42999995</c:v>
                </c:pt>
                <c:pt idx="11">
                  <c:v>681010938.36999989</c:v>
                </c:pt>
                <c:pt idx="12">
                  <c:v>913122400.15999997</c:v>
                </c:pt>
                <c:pt idx="13">
                  <c:v>894821860.86000013</c:v>
                </c:pt>
                <c:pt idx="14">
                  <c:v>629567815.68999994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B-4A17-B759-E282F9558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22027"/>
        <c:axId val="56733529"/>
      </c:barChart>
      <c:catAx>
        <c:axId val="470220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733529"/>
        <c:crosses val="autoZero"/>
        <c:auto val="1"/>
        <c:lblAlgn val="ctr"/>
        <c:lblOffset val="100"/>
        <c:noMultiLvlLbl val="0"/>
      </c:catAx>
      <c:valAx>
        <c:axId val="5673352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2202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Calc!$K$1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00-4B67-8E57-9C1BF2CE855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00-4B67-8E57-9C1BF2CE8552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000-4B67-8E57-9C1BF2CE8552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000-4B67-8E57-9C1BF2CE85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Calc!$J$2:$J$3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Calc!$K$2:$K$3</c:f>
              <c:numCache>
                <c:formatCode>#,##0</c:formatCode>
                <c:ptCount val="2"/>
                <c:pt idx="0">
                  <c:v>0</c:v>
                </c:pt>
                <c:pt idx="1">
                  <c:v>692053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00-4B67-8E57-9C1BF2CE8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177120</xdr:rowOff>
    </xdr:from>
    <xdr:to>
      <xdr:col>4</xdr:col>
      <xdr:colOff>1170360</xdr:colOff>
      <xdr:row>27</xdr:row>
      <xdr:rowOff>133560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177120</xdr:rowOff>
    </xdr:from>
    <xdr:to>
      <xdr:col>9</xdr:col>
      <xdr:colOff>747720</xdr:colOff>
      <xdr:row>27</xdr:row>
      <xdr:rowOff>133560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177120</xdr:rowOff>
    </xdr:from>
    <xdr:to>
      <xdr:col>4</xdr:col>
      <xdr:colOff>1170360</xdr:colOff>
      <xdr:row>46</xdr:row>
      <xdr:rowOff>112680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29</xdr:row>
      <xdr:rowOff>177120</xdr:rowOff>
    </xdr:from>
    <xdr:to>
      <xdr:col>9</xdr:col>
      <xdr:colOff>747720</xdr:colOff>
      <xdr:row>46</xdr:row>
      <xdr:rowOff>112680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M361" totalsRowShown="0">
  <autoFilter ref="A1:M361" xr:uid="{00000000-0009-0000-0100-000001000000}"/>
  <tableColumns count="13">
    <tableColumn id="1" xr3:uid="{00000000-0010-0000-0000-000001000000}" name="Year"/>
    <tableColumn id="2" xr3:uid="{00000000-0010-0000-0000-000002000000}" name="Quarter"/>
    <tableColumn id="3" xr3:uid="{00000000-0010-0000-0000-000003000000}" name="Product Model"/>
    <tableColumn id="4" xr3:uid="{00000000-0010-0000-0000-000004000000}" name="5G Capability"/>
    <tableColumn id="5" xr3:uid="{00000000-0010-0000-0000-000005000000}" name="Units Sold"/>
    <tableColumn id="6" xr3:uid="{00000000-0010-0000-0000-000006000000}" name="Revenue ($)"/>
    <tableColumn id="7" xr3:uid="{00000000-0010-0000-0000-000007000000}" name="Market Share (%)"/>
    <tableColumn id="8" xr3:uid="{00000000-0010-0000-0000-000008000000}" name="Regional 5G Coverage (%)"/>
    <tableColumn id="9" xr3:uid="{00000000-0010-0000-0000-000009000000}" name="5G Subscribers (millions)"/>
    <tableColumn id="10" xr3:uid="{00000000-0010-0000-0000-00000A000000}" name="Avg 5G Speed (Mbps)"/>
    <tableColumn id="11" xr3:uid="{00000000-0010-0000-0000-00000B000000}" name="Preference for 5G (%)"/>
    <tableColumn id="12" xr3:uid="{00000000-0010-0000-0000-00000C000000}" name="Region"/>
    <tableColumn id="13" xr3:uid="{00000000-0010-0000-0000-00000D000000}" name="Perio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28A0"/>
  </sheetPr>
  <dimension ref="B2:G66"/>
  <sheetViews>
    <sheetView showGridLines="0" tabSelected="1" zoomScaleNormal="100" workbookViewId="0">
      <selection activeCell="E6" sqref="E6"/>
    </sheetView>
  </sheetViews>
  <sheetFormatPr defaultColWidth="8.6328125" defaultRowHeight="14.5" x14ac:dyDescent="0.35"/>
  <cols>
    <col min="1" max="1" width="3" customWidth="1"/>
    <col min="2" max="2" width="26" customWidth="1"/>
    <col min="3" max="5" width="22" customWidth="1"/>
    <col min="6" max="6" width="16" customWidth="1"/>
    <col min="7" max="10" width="22" customWidth="1"/>
    <col min="11" max="11" width="3" customWidth="1"/>
  </cols>
  <sheetData>
    <row r="2" spans="2:7" ht="22" customHeight="1" x14ac:dyDescent="0.5">
      <c r="B2" s="30" t="s">
        <v>0</v>
      </c>
      <c r="C2" s="29"/>
      <c r="D2" s="29"/>
      <c r="E2" s="29"/>
    </row>
    <row r="3" spans="2:7" ht="15" customHeight="1" x14ac:dyDescent="0.35">
      <c r="B3" s="28" t="s">
        <v>1</v>
      </c>
      <c r="C3" s="29"/>
      <c r="D3" s="29"/>
      <c r="E3" s="29"/>
    </row>
    <row r="5" spans="2:7" ht="15" customHeight="1" x14ac:dyDescent="0.35">
      <c r="B5" s="1" t="s">
        <v>2</v>
      </c>
      <c r="C5" s="1" t="s">
        <v>3</v>
      </c>
      <c r="D5" s="1" t="s">
        <v>4</v>
      </c>
      <c r="E5" s="1" t="s">
        <v>5</v>
      </c>
    </row>
    <row r="6" spans="2:7" ht="25.5" customHeight="1" x14ac:dyDescent="0.35">
      <c r="B6" s="2" t="s">
        <v>6</v>
      </c>
      <c r="C6" s="2" t="s">
        <v>6</v>
      </c>
      <c r="D6" s="2" t="s">
        <v>6</v>
      </c>
      <c r="E6" s="2" t="s">
        <v>68</v>
      </c>
    </row>
    <row r="8" spans="2:7" ht="13.5" customHeight="1" x14ac:dyDescent="0.35">
      <c r="B8" s="3" t="s">
        <v>7</v>
      </c>
      <c r="C8" s="4" t="s">
        <v>8</v>
      </c>
      <c r="D8" s="5" t="s">
        <v>9</v>
      </c>
      <c r="E8" s="6" t="s">
        <v>10</v>
      </c>
    </row>
    <row r="9" spans="2:7" ht="21.75" customHeight="1" x14ac:dyDescent="0.4">
      <c r="B9" s="7">
        <f>Calc!N2</f>
        <v>522440384.89000005</v>
      </c>
      <c r="C9" s="8">
        <f>Calc!N3</f>
        <v>692053</v>
      </c>
      <c r="D9" s="9">
        <f>Calc!N4</f>
        <v>61.264999999999993</v>
      </c>
      <c r="E9" s="9">
        <f>Calc!N5</f>
        <v>1.4616666666666671</v>
      </c>
    </row>
    <row r="11" spans="2:7" ht="15" customHeight="1" x14ac:dyDescent="0.35">
      <c r="B11" s="10" t="s">
        <v>11</v>
      </c>
      <c r="D11" s="11">
        <f>Calc!N6</f>
        <v>24</v>
      </c>
    </row>
    <row r="13" spans="2:7" ht="15" customHeight="1" x14ac:dyDescent="0.35">
      <c r="B13" s="12" t="s">
        <v>12</v>
      </c>
      <c r="G13" s="12" t="s">
        <v>13</v>
      </c>
    </row>
    <row r="14" spans="2:7" ht="6" customHeight="1" x14ac:dyDescent="0.35"/>
    <row r="30" spans="2:7" ht="15" customHeight="1" x14ac:dyDescent="0.35">
      <c r="B30" s="12" t="s">
        <v>14</v>
      </c>
      <c r="G30" s="12" t="s">
        <v>15</v>
      </c>
    </row>
    <row r="31" spans="2:7" ht="6" customHeight="1" x14ac:dyDescent="0.35"/>
    <row r="50" spans="2:6" ht="15" customHeight="1" x14ac:dyDescent="0.35">
      <c r="B50" s="12" t="s">
        <v>16</v>
      </c>
    </row>
    <row r="51" spans="2:6" ht="15" customHeight="1" x14ac:dyDescent="0.35">
      <c r="B51" s="13" t="s">
        <v>5</v>
      </c>
      <c r="C51" s="13" t="s">
        <v>17</v>
      </c>
      <c r="D51" s="13" t="s">
        <v>18</v>
      </c>
      <c r="E51" s="13" t="s">
        <v>7</v>
      </c>
      <c r="F51" s="13" t="s">
        <v>19</v>
      </c>
    </row>
    <row r="52" spans="2:6" ht="15" customHeight="1" x14ac:dyDescent="0.35">
      <c r="B52" s="14" t="str">
        <f>Calc!P2</f>
        <v>Galaxy S10</v>
      </c>
      <c r="C52" s="14" t="str">
        <f>Calc!Q2</f>
        <v>No</v>
      </c>
      <c r="D52" s="15">
        <f>Calc!R2</f>
        <v>692053</v>
      </c>
      <c r="E52" s="16">
        <f>Calc!S2</f>
        <v>522440384.89000005</v>
      </c>
      <c r="F52" s="16">
        <f>Calc!T2</f>
        <v>754.91383592008128</v>
      </c>
    </row>
    <row r="53" spans="2:6" ht="15" customHeight="1" x14ac:dyDescent="0.35">
      <c r="B53" s="17" t="str">
        <f>Calc!P3</f>
        <v>Galaxy Note10</v>
      </c>
      <c r="C53" s="17" t="str">
        <f>Calc!Q3</f>
        <v>No</v>
      </c>
      <c r="D53" s="18">
        <f>Calc!R3</f>
        <v>615344</v>
      </c>
      <c r="E53" s="19">
        <f>Calc!S3</f>
        <v>574059943.6500001</v>
      </c>
      <c r="F53" s="19">
        <f>Calc!T3</f>
        <v>932.90898042395816</v>
      </c>
    </row>
    <row r="54" spans="2:6" ht="15" customHeight="1" x14ac:dyDescent="0.35">
      <c r="B54" s="14" t="str">
        <f>Calc!P4</f>
        <v>Galaxy S20</v>
      </c>
      <c r="C54" s="14" t="str">
        <f>Calc!Q4</f>
        <v>No</v>
      </c>
      <c r="D54" s="15">
        <f>Calc!R4</f>
        <v>659865</v>
      </c>
      <c r="E54" s="16">
        <f>Calc!S4</f>
        <v>514349659.21999991</v>
      </c>
      <c r="F54" s="16">
        <f>Calc!T4</f>
        <v>779.47710398339041</v>
      </c>
    </row>
    <row r="55" spans="2:6" ht="15" customHeight="1" x14ac:dyDescent="0.35">
      <c r="B55" s="17" t="str">
        <f>Calc!P5</f>
        <v>Galaxy Note20</v>
      </c>
      <c r="C55" s="17" t="str">
        <f>Calc!Q5</f>
        <v>No</v>
      </c>
      <c r="D55" s="18">
        <f>Calc!R5</f>
        <v>590448</v>
      </c>
      <c r="E55" s="19">
        <f>Calc!S5</f>
        <v>617986264.64999998</v>
      </c>
      <c r="F55" s="19">
        <f>Calc!T5</f>
        <v>1046.6396103467198</v>
      </c>
    </row>
    <row r="56" spans="2:6" ht="15" customHeight="1" x14ac:dyDescent="0.35">
      <c r="B56" s="14" t="str">
        <f>Calc!P6</f>
        <v>Galaxy S21</v>
      </c>
      <c r="C56" s="14" t="str">
        <f>Calc!Q6</f>
        <v>No</v>
      </c>
      <c r="D56" s="15">
        <f>Calc!R6</f>
        <v>634849</v>
      </c>
      <c r="E56" s="16">
        <f>Calc!S6</f>
        <v>606237536.38</v>
      </c>
      <c r="F56" s="16">
        <f>Calc!T6</f>
        <v>954.93185998560284</v>
      </c>
    </row>
    <row r="57" spans="2:6" ht="15" customHeight="1" x14ac:dyDescent="0.35">
      <c r="B57" s="17" t="str">
        <f>Calc!P7</f>
        <v>Galaxy A32 5G</v>
      </c>
      <c r="C57" s="17" t="str">
        <f>Calc!Q7</f>
        <v>Yes</v>
      </c>
      <c r="D57" s="18">
        <f>Calc!R7</f>
        <v>857409</v>
      </c>
      <c r="E57" s="19">
        <f>Calc!S7</f>
        <v>716143586.89000022</v>
      </c>
      <c r="F57" s="19">
        <f>Calc!T7</f>
        <v>835.24150888315876</v>
      </c>
    </row>
    <row r="58" spans="2:6" ht="15" customHeight="1" x14ac:dyDescent="0.35">
      <c r="B58" s="14" t="str">
        <f>Calc!P8</f>
        <v>Galaxy A52 5G</v>
      </c>
      <c r="C58" s="14" t="str">
        <f>Calc!Q8</f>
        <v>Yes</v>
      </c>
      <c r="D58" s="15">
        <f>Calc!R8</f>
        <v>891357</v>
      </c>
      <c r="E58" s="16">
        <f>Calc!S8</f>
        <v>863073279.51999998</v>
      </c>
      <c r="F58" s="16">
        <f>Calc!T8</f>
        <v>968.26891977064179</v>
      </c>
    </row>
    <row r="59" spans="2:6" ht="15" customHeight="1" x14ac:dyDescent="0.35">
      <c r="B59" s="17" t="str">
        <f>Calc!P9</f>
        <v>Galaxy A73 5G</v>
      </c>
      <c r="C59" s="17" t="str">
        <f>Calc!Q9</f>
        <v>Yes</v>
      </c>
      <c r="D59" s="18">
        <f>Calc!R9</f>
        <v>909507</v>
      </c>
      <c r="E59" s="19">
        <f>Calc!S9</f>
        <v>773100349.05999994</v>
      </c>
      <c r="F59" s="19">
        <f>Calc!T9</f>
        <v>850.0213292036234</v>
      </c>
    </row>
    <row r="60" spans="2:6" ht="15" customHeight="1" x14ac:dyDescent="0.35">
      <c r="B60" s="14" t="str">
        <f>Calc!P10</f>
        <v>Galaxy Z Fold2 5G</v>
      </c>
      <c r="C60" s="14" t="str">
        <f>Calc!Q10</f>
        <v>Yes</v>
      </c>
      <c r="D60" s="15">
        <f>Calc!R10</f>
        <v>912096</v>
      </c>
      <c r="E60" s="16">
        <f>Calc!S10</f>
        <v>824920697.29999995</v>
      </c>
      <c r="F60" s="16">
        <f>Calc!T10</f>
        <v>904.42310601077077</v>
      </c>
    </row>
    <row r="61" spans="2:6" ht="15" customHeight="1" x14ac:dyDescent="0.35">
      <c r="B61" s="17" t="str">
        <f>Calc!P11</f>
        <v>Galaxy Z Flip3 5G</v>
      </c>
      <c r="C61" s="17" t="str">
        <f>Calc!Q11</f>
        <v>Yes</v>
      </c>
      <c r="D61" s="18">
        <f>Calc!R11</f>
        <v>901892</v>
      </c>
      <c r="E61" s="19">
        <f>Calc!S11</f>
        <v>765159008.17999995</v>
      </c>
      <c r="F61" s="19">
        <f>Calc!T11</f>
        <v>848.3931647913497</v>
      </c>
    </row>
    <row r="62" spans="2:6" ht="15" customHeight="1" x14ac:dyDescent="0.35">
      <c r="B62" s="14" t="str">
        <f>Calc!P12</f>
        <v>Galaxy S22 5G</v>
      </c>
      <c r="C62" s="14" t="str">
        <f>Calc!Q12</f>
        <v>Yes</v>
      </c>
      <c r="D62" s="15">
        <f>Calc!R12</f>
        <v>703608</v>
      </c>
      <c r="E62" s="16">
        <f>Calc!S12</f>
        <v>870634307.42999995</v>
      </c>
      <c r="F62" s="16">
        <f>Calc!T12</f>
        <v>1237.3854581386227</v>
      </c>
    </row>
    <row r="63" spans="2:6" ht="15" customHeight="1" x14ac:dyDescent="0.35">
      <c r="B63" s="17" t="str">
        <f>Calc!P13</f>
        <v>Galaxy Z Fold3 5G</v>
      </c>
      <c r="C63" s="17" t="str">
        <f>Calc!Q13</f>
        <v>Yes</v>
      </c>
      <c r="D63" s="18">
        <f>Calc!R13</f>
        <v>835964</v>
      </c>
      <c r="E63" s="19">
        <f>Calc!S13</f>
        <v>681010938.36999989</v>
      </c>
      <c r="F63" s="19">
        <f>Calc!T13</f>
        <v>814.64146586455865</v>
      </c>
    </row>
    <row r="64" spans="2:6" ht="15" customHeight="1" x14ac:dyDescent="0.35">
      <c r="B64" s="14" t="str">
        <f>Calc!P14</f>
        <v>Galaxy A14 5G</v>
      </c>
      <c r="C64" s="14" t="str">
        <f>Calc!Q14</f>
        <v>Yes</v>
      </c>
      <c r="D64" s="15">
        <f>Calc!R14</f>
        <v>879660</v>
      </c>
      <c r="E64" s="16">
        <f>Calc!S14</f>
        <v>913122400.15999997</v>
      </c>
      <c r="F64" s="16">
        <f>Calc!T14</f>
        <v>1038.04015205875</v>
      </c>
    </row>
    <row r="65" spans="2:6" ht="15" customHeight="1" x14ac:dyDescent="0.35">
      <c r="B65" s="17" t="str">
        <f>Calc!P15</f>
        <v>Galaxy S23 5G</v>
      </c>
      <c r="C65" s="17" t="str">
        <f>Calc!Q15</f>
        <v>Yes</v>
      </c>
      <c r="D65" s="18">
        <f>Calc!R15</f>
        <v>835739</v>
      </c>
      <c r="E65" s="19">
        <f>Calc!S15</f>
        <v>894821860.86000013</v>
      </c>
      <c r="F65" s="19">
        <f>Calc!T15</f>
        <v>1070.6953496964964</v>
      </c>
    </row>
    <row r="66" spans="2:6" ht="15" customHeight="1" x14ac:dyDescent="0.35">
      <c r="B66" s="14" t="str">
        <f>Calc!P16</f>
        <v>Galaxy Z Flip5 5G</v>
      </c>
      <c r="C66" s="14" t="str">
        <f>Calc!Q16</f>
        <v>Yes</v>
      </c>
      <c r="D66" s="15">
        <f>Calc!R16</f>
        <v>832848</v>
      </c>
      <c r="E66" s="16">
        <f>Calc!S16</f>
        <v>629567815.68999994</v>
      </c>
      <c r="F66" s="16">
        <f>Calc!T16</f>
        <v>755.92162758390475</v>
      </c>
    </row>
  </sheetData>
  <mergeCells count="2">
    <mergeCell ref="B3:E3"/>
    <mergeCell ref="B2:E2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Lists!$A$2:$A$8</xm:f>
          </x14:formula1>
          <x14:formula2>
            <xm:f>0</xm:f>
          </x14:formula2>
          <xm:sqref>B6</xm:sqref>
        </x14:dataValidation>
        <x14:dataValidation type="list" xr:uid="{00000000-0002-0000-0000-000001000000}">
          <x14:formula1>
            <xm:f>Lists!$B$2:$B$7</xm:f>
          </x14:formula1>
          <x14:formula2>
            <xm:f>0</xm:f>
          </x14:formula2>
          <xm:sqref>C6</xm:sqref>
        </x14:dataValidation>
        <x14:dataValidation type="list" xr:uid="{00000000-0002-0000-0000-000002000000}">
          <x14:formula1>
            <xm:f>Lists!$C$2:$C$4</xm:f>
          </x14:formula1>
          <x14:formula2>
            <xm:f>0</xm:f>
          </x14:formula2>
          <xm:sqref>D6</xm:sqref>
        </x14:dataValidation>
        <x14:dataValidation type="list" xr:uid="{00000000-0002-0000-0000-000003000000}">
          <x14:formula1>
            <xm:f>Lists!$D$2:$D$17</xm:f>
          </x14:formula1>
          <x14:formula2>
            <xm:f>0</xm:f>
          </x14:formula2>
          <xm:sqref>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5" width="34" customWidth="1"/>
  </cols>
  <sheetData>
    <row r="2" spans="2:5" ht="17.399999999999999" customHeight="1" x14ac:dyDescent="0.4">
      <c r="B2" s="31" t="s">
        <v>20</v>
      </c>
      <c r="C2" s="29"/>
      <c r="D2" s="29"/>
      <c r="E2" s="29"/>
    </row>
    <row r="4" spans="2:5" ht="15" customHeight="1" x14ac:dyDescent="0.35">
      <c r="B4" s="20" t="s">
        <v>21</v>
      </c>
      <c r="C4" s="20" t="s">
        <v>22</v>
      </c>
      <c r="D4" s="20" t="s">
        <v>23</v>
      </c>
      <c r="E4" s="20" t="s">
        <v>24</v>
      </c>
    </row>
    <row r="5" spans="2:5" ht="45" customHeight="1" x14ac:dyDescent="0.35">
      <c r="B5" s="21" t="s">
        <v>25</v>
      </c>
      <c r="C5" s="21" t="s">
        <v>26</v>
      </c>
      <c r="D5" s="21" t="s">
        <v>27</v>
      </c>
      <c r="E5" s="21" t="s">
        <v>28</v>
      </c>
    </row>
    <row r="6" spans="2:5" ht="45" customHeight="1" x14ac:dyDescent="0.35">
      <c r="B6" s="22" t="s">
        <v>29</v>
      </c>
      <c r="C6" s="22" t="s">
        <v>30</v>
      </c>
      <c r="D6" s="22" t="s">
        <v>31</v>
      </c>
      <c r="E6" s="22" t="s">
        <v>32</v>
      </c>
    </row>
    <row r="7" spans="2:5" ht="45" customHeight="1" x14ac:dyDescent="0.35">
      <c r="B7" s="21" t="s">
        <v>33</v>
      </c>
      <c r="C7" s="21" t="s">
        <v>34</v>
      </c>
      <c r="D7" s="21" t="s">
        <v>35</v>
      </c>
      <c r="E7" s="21" t="s">
        <v>36</v>
      </c>
    </row>
    <row r="8" spans="2:5" ht="45" customHeight="1" x14ac:dyDescent="0.35">
      <c r="B8" s="22" t="s">
        <v>37</v>
      </c>
      <c r="C8" s="22" t="s">
        <v>38</v>
      </c>
      <c r="D8" s="22" t="s">
        <v>39</v>
      </c>
      <c r="E8" s="22" t="s">
        <v>40</v>
      </c>
    </row>
    <row r="9" spans="2:5" ht="45" customHeight="1" x14ac:dyDescent="0.35">
      <c r="B9" s="21" t="s">
        <v>41</v>
      </c>
      <c r="C9" s="21" t="s">
        <v>42</v>
      </c>
      <c r="D9" s="21" t="s">
        <v>43</v>
      </c>
      <c r="E9" s="21" t="s">
        <v>44</v>
      </c>
    </row>
    <row r="10" spans="2:5" ht="45" customHeight="1" x14ac:dyDescent="0.35">
      <c r="B10" s="22" t="s">
        <v>45</v>
      </c>
      <c r="C10" s="22" t="s">
        <v>46</v>
      </c>
      <c r="D10" s="22" t="s">
        <v>47</v>
      </c>
      <c r="E10" s="22" t="s">
        <v>48</v>
      </c>
    </row>
    <row r="11" spans="2:5" ht="45" customHeight="1" x14ac:dyDescent="0.35">
      <c r="B11" s="21" t="s">
        <v>49</v>
      </c>
      <c r="C11" s="21" t="s">
        <v>50</v>
      </c>
      <c r="D11" s="21" t="s">
        <v>51</v>
      </c>
      <c r="E11" s="21" t="s">
        <v>52</v>
      </c>
    </row>
    <row r="12" spans="2:5" ht="45" customHeight="1" x14ac:dyDescent="0.35">
      <c r="B12" s="22" t="s">
        <v>53</v>
      </c>
      <c r="C12" s="22" t="s">
        <v>54</v>
      </c>
      <c r="D12" s="22" t="s">
        <v>55</v>
      </c>
      <c r="E12" s="22" t="s">
        <v>56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16" customWidth="1"/>
    <col min="3" max="3" width="20" customWidth="1"/>
    <col min="4" max="13" width="16" customWidth="1"/>
  </cols>
  <sheetData>
    <row r="1" spans="1:13" ht="15" customHeight="1" x14ac:dyDescent="0.35">
      <c r="A1" s="23" t="s">
        <v>2</v>
      </c>
      <c r="B1" s="23" t="s">
        <v>57</v>
      </c>
      <c r="C1" s="23" t="s">
        <v>58</v>
      </c>
      <c r="D1" s="23" t="s">
        <v>4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3</v>
      </c>
      <c r="M1" s="23" t="s">
        <v>66</v>
      </c>
    </row>
    <row r="2" spans="1:13" ht="15" customHeight="1" x14ac:dyDescent="0.35">
      <c r="A2">
        <v>2019</v>
      </c>
      <c r="B2" t="s">
        <v>67</v>
      </c>
      <c r="C2" t="s">
        <v>68</v>
      </c>
      <c r="D2" t="s">
        <v>69</v>
      </c>
      <c r="E2" s="24">
        <v>26396</v>
      </c>
      <c r="F2" s="25">
        <v>4212951.05</v>
      </c>
      <c r="G2" s="26">
        <v>1.04</v>
      </c>
      <c r="H2" s="26">
        <v>57.36</v>
      </c>
      <c r="I2" s="27">
        <v>39.549999999999997</v>
      </c>
      <c r="J2" s="27">
        <v>293.10000000000002</v>
      </c>
      <c r="K2" s="26">
        <v>55.87</v>
      </c>
      <c r="L2" t="s">
        <v>70</v>
      </c>
      <c r="M2" t="s">
        <v>71</v>
      </c>
    </row>
    <row r="3" spans="1:13" ht="15" customHeight="1" x14ac:dyDescent="0.35">
      <c r="A3">
        <v>2019</v>
      </c>
      <c r="B3" t="s">
        <v>67</v>
      </c>
      <c r="C3" t="s">
        <v>72</v>
      </c>
      <c r="D3" t="s">
        <v>69</v>
      </c>
      <c r="E3" s="24">
        <v>25671</v>
      </c>
      <c r="F3" s="25">
        <v>7240265.5999999996</v>
      </c>
      <c r="G3" s="26">
        <v>2.82</v>
      </c>
      <c r="H3" s="26">
        <v>85.8</v>
      </c>
      <c r="I3" s="27">
        <v>42.58</v>
      </c>
      <c r="J3" s="27">
        <v>67.459999999999994</v>
      </c>
      <c r="K3" s="26">
        <v>37.26</v>
      </c>
      <c r="L3" t="s">
        <v>73</v>
      </c>
      <c r="M3" t="s">
        <v>71</v>
      </c>
    </row>
    <row r="4" spans="1:13" ht="15" customHeight="1" x14ac:dyDescent="0.35">
      <c r="A4">
        <v>2019</v>
      </c>
      <c r="B4" t="s">
        <v>67</v>
      </c>
      <c r="C4" t="s">
        <v>74</v>
      </c>
      <c r="D4" t="s">
        <v>69</v>
      </c>
      <c r="E4" s="24">
        <v>16573</v>
      </c>
      <c r="F4" s="25">
        <v>25608331.510000002</v>
      </c>
      <c r="G4" s="26">
        <v>0</v>
      </c>
      <c r="H4" s="26">
        <v>47.02</v>
      </c>
      <c r="I4" s="27">
        <v>3.78</v>
      </c>
      <c r="J4" s="27">
        <v>77.25</v>
      </c>
      <c r="K4" s="26">
        <v>84.66</v>
      </c>
      <c r="L4" t="s">
        <v>75</v>
      </c>
      <c r="M4" t="s">
        <v>71</v>
      </c>
    </row>
    <row r="5" spans="1:13" ht="15" customHeight="1" x14ac:dyDescent="0.35">
      <c r="A5">
        <v>2019</v>
      </c>
      <c r="B5" t="s">
        <v>67</v>
      </c>
      <c r="C5" t="s">
        <v>76</v>
      </c>
      <c r="D5" t="s">
        <v>69</v>
      </c>
      <c r="E5" s="24">
        <v>7177</v>
      </c>
      <c r="F5" s="25">
        <v>21984415.829999998</v>
      </c>
      <c r="G5" s="26">
        <v>0.84</v>
      </c>
      <c r="H5" s="26">
        <v>25.7</v>
      </c>
      <c r="I5" s="27">
        <v>23.41</v>
      </c>
      <c r="J5" s="27">
        <v>105.27</v>
      </c>
      <c r="K5" s="26">
        <v>40.03</v>
      </c>
      <c r="L5" t="s">
        <v>77</v>
      </c>
      <c r="M5" t="s">
        <v>71</v>
      </c>
    </row>
    <row r="6" spans="1:13" ht="15" customHeight="1" x14ac:dyDescent="0.35">
      <c r="A6">
        <v>2019</v>
      </c>
      <c r="B6" t="s">
        <v>67</v>
      </c>
      <c r="C6" t="s">
        <v>78</v>
      </c>
      <c r="D6" t="s">
        <v>69</v>
      </c>
      <c r="E6" s="24">
        <v>45633</v>
      </c>
      <c r="F6" s="25">
        <v>16342437.5</v>
      </c>
      <c r="G6" s="26">
        <v>2.36</v>
      </c>
      <c r="H6" s="26">
        <v>89.13</v>
      </c>
      <c r="I6" s="27">
        <v>44.43</v>
      </c>
      <c r="J6" s="27">
        <v>206.17</v>
      </c>
      <c r="K6" s="26">
        <v>76.88</v>
      </c>
      <c r="L6" t="s">
        <v>73</v>
      </c>
      <c r="M6" t="s">
        <v>71</v>
      </c>
    </row>
    <row r="7" spans="1:13" ht="15" customHeight="1" x14ac:dyDescent="0.35">
      <c r="A7">
        <v>2019</v>
      </c>
      <c r="B7" t="s">
        <v>67</v>
      </c>
      <c r="C7" t="s">
        <v>79</v>
      </c>
      <c r="D7" t="s">
        <v>80</v>
      </c>
      <c r="E7" s="24">
        <v>15912</v>
      </c>
      <c r="F7" s="25">
        <v>17178326.899999999</v>
      </c>
      <c r="G7" s="26">
        <v>5.41</v>
      </c>
      <c r="H7" s="26">
        <v>59.12</v>
      </c>
      <c r="I7" s="27">
        <v>12.14</v>
      </c>
      <c r="J7" s="27">
        <v>179.15</v>
      </c>
      <c r="K7" s="26">
        <v>80.790000000000006</v>
      </c>
      <c r="L7" t="s">
        <v>75</v>
      </c>
      <c r="M7" t="s">
        <v>71</v>
      </c>
    </row>
    <row r="8" spans="1:13" ht="15" customHeight="1" x14ac:dyDescent="0.35">
      <c r="A8">
        <v>2019</v>
      </c>
      <c r="B8" t="s">
        <v>67</v>
      </c>
      <c r="C8" t="s">
        <v>81</v>
      </c>
      <c r="D8" t="s">
        <v>80</v>
      </c>
      <c r="E8" s="24">
        <v>7231</v>
      </c>
      <c r="F8" s="25">
        <v>48639810.189999998</v>
      </c>
      <c r="G8" s="26">
        <v>5.9</v>
      </c>
      <c r="H8" s="26">
        <v>52.94</v>
      </c>
      <c r="I8" s="27">
        <v>44.36</v>
      </c>
      <c r="J8" s="27">
        <v>259.16000000000003</v>
      </c>
      <c r="K8" s="26">
        <v>77.55</v>
      </c>
      <c r="L8" t="s">
        <v>73</v>
      </c>
      <c r="M8" t="s">
        <v>71</v>
      </c>
    </row>
    <row r="9" spans="1:13" ht="15" customHeight="1" x14ac:dyDescent="0.35">
      <c r="A9">
        <v>2019</v>
      </c>
      <c r="B9" t="s">
        <v>67</v>
      </c>
      <c r="C9" t="s">
        <v>82</v>
      </c>
      <c r="D9" t="s">
        <v>80</v>
      </c>
      <c r="E9" s="24">
        <v>58711</v>
      </c>
      <c r="F9" s="25">
        <v>70175779.069999993</v>
      </c>
      <c r="G9" s="26">
        <v>4.92</v>
      </c>
      <c r="H9" s="26">
        <v>79.95</v>
      </c>
      <c r="I9" s="27">
        <v>49.7</v>
      </c>
      <c r="J9" s="27">
        <v>191.42</v>
      </c>
      <c r="K9" s="26">
        <v>74.83</v>
      </c>
      <c r="L9" t="s">
        <v>83</v>
      </c>
      <c r="M9" t="s">
        <v>71</v>
      </c>
    </row>
    <row r="10" spans="1:13" ht="15" customHeight="1" x14ac:dyDescent="0.35">
      <c r="A10">
        <v>2019</v>
      </c>
      <c r="B10" t="s">
        <v>67</v>
      </c>
      <c r="C10" t="s">
        <v>84</v>
      </c>
      <c r="D10" t="s">
        <v>80</v>
      </c>
      <c r="E10" s="24">
        <v>40641</v>
      </c>
      <c r="F10" s="25">
        <v>51959555.759999998</v>
      </c>
      <c r="G10" s="26">
        <v>2.64</v>
      </c>
      <c r="H10" s="26">
        <v>44.77</v>
      </c>
      <c r="I10" s="27">
        <v>31.27</v>
      </c>
      <c r="J10" s="27">
        <v>151.18</v>
      </c>
      <c r="K10" s="26">
        <v>66.510000000000005</v>
      </c>
      <c r="L10" t="s">
        <v>77</v>
      </c>
      <c r="M10" t="s">
        <v>71</v>
      </c>
    </row>
    <row r="11" spans="1:13" ht="15" customHeight="1" x14ac:dyDescent="0.35">
      <c r="A11">
        <v>2019</v>
      </c>
      <c r="B11" t="s">
        <v>67</v>
      </c>
      <c r="C11" t="s">
        <v>85</v>
      </c>
      <c r="D11" t="s">
        <v>80</v>
      </c>
      <c r="E11" s="24">
        <v>38119</v>
      </c>
      <c r="F11" s="25">
        <v>49899540.799999997</v>
      </c>
      <c r="G11" s="26">
        <v>6.84</v>
      </c>
      <c r="H11" s="26">
        <v>51.21</v>
      </c>
      <c r="I11" s="27">
        <v>38.33</v>
      </c>
      <c r="J11" s="27">
        <v>284.33</v>
      </c>
      <c r="K11" s="26">
        <v>87.01</v>
      </c>
      <c r="L11" t="s">
        <v>73</v>
      </c>
      <c r="M11" t="s">
        <v>71</v>
      </c>
    </row>
    <row r="12" spans="1:13" ht="15" customHeight="1" x14ac:dyDescent="0.35">
      <c r="A12">
        <v>2019</v>
      </c>
      <c r="B12" t="s">
        <v>67</v>
      </c>
      <c r="C12" t="s">
        <v>86</v>
      </c>
      <c r="D12" t="s">
        <v>80</v>
      </c>
      <c r="E12" s="24">
        <v>36255</v>
      </c>
      <c r="F12" s="25">
        <v>12091673.939999999</v>
      </c>
      <c r="G12" s="26">
        <v>4.66</v>
      </c>
      <c r="H12" s="26">
        <v>56.5</v>
      </c>
      <c r="I12" s="27">
        <v>9.77</v>
      </c>
      <c r="J12" s="27">
        <v>81.430000000000007</v>
      </c>
      <c r="K12" s="26">
        <v>85.88</v>
      </c>
      <c r="L12" t="s">
        <v>75</v>
      </c>
      <c r="M12" t="s">
        <v>71</v>
      </c>
    </row>
    <row r="13" spans="1:13" ht="15" customHeight="1" x14ac:dyDescent="0.35">
      <c r="A13">
        <v>2019</v>
      </c>
      <c r="B13" t="s">
        <v>67</v>
      </c>
      <c r="C13" t="s">
        <v>87</v>
      </c>
      <c r="D13" t="s">
        <v>80</v>
      </c>
      <c r="E13" s="24">
        <v>19643</v>
      </c>
      <c r="F13" s="25">
        <v>36029498.520000003</v>
      </c>
      <c r="G13" s="26">
        <v>5.67</v>
      </c>
      <c r="H13" s="26">
        <v>76.62</v>
      </c>
      <c r="I13" s="27">
        <v>22.84</v>
      </c>
      <c r="J13" s="27">
        <v>220.82</v>
      </c>
      <c r="K13" s="26">
        <v>88.16</v>
      </c>
      <c r="L13" t="s">
        <v>70</v>
      </c>
      <c r="M13" t="s">
        <v>71</v>
      </c>
    </row>
    <row r="14" spans="1:13" ht="15" customHeight="1" x14ac:dyDescent="0.35">
      <c r="A14">
        <v>2019</v>
      </c>
      <c r="B14" t="s">
        <v>67</v>
      </c>
      <c r="C14" t="s">
        <v>88</v>
      </c>
      <c r="D14" t="s">
        <v>80</v>
      </c>
      <c r="E14" s="24">
        <v>12612</v>
      </c>
      <c r="F14" s="25">
        <v>57161551.82</v>
      </c>
      <c r="G14" s="26">
        <v>3.24</v>
      </c>
      <c r="H14" s="26">
        <v>64.48</v>
      </c>
      <c r="I14" s="27">
        <v>14.98</v>
      </c>
      <c r="J14" s="27">
        <v>161.49</v>
      </c>
      <c r="K14" s="26">
        <v>85.67</v>
      </c>
      <c r="L14" t="s">
        <v>75</v>
      </c>
      <c r="M14" t="s">
        <v>71</v>
      </c>
    </row>
    <row r="15" spans="1:13" ht="15" customHeight="1" x14ac:dyDescent="0.35">
      <c r="A15">
        <v>2019</v>
      </c>
      <c r="B15" t="s">
        <v>67</v>
      </c>
      <c r="C15" t="s">
        <v>89</v>
      </c>
      <c r="D15" t="s">
        <v>80</v>
      </c>
      <c r="E15" s="24">
        <v>22722</v>
      </c>
      <c r="F15" s="25">
        <v>45310946.810000002</v>
      </c>
      <c r="G15" s="26">
        <v>2.88</v>
      </c>
      <c r="H15" s="26">
        <v>87.12</v>
      </c>
      <c r="I15" s="27">
        <v>19.04</v>
      </c>
      <c r="J15" s="27">
        <v>233.87</v>
      </c>
      <c r="K15" s="26">
        <v>45.66</v>
      </c>
      <c r="L15" t="s">
        <v>83</v>
      </c>
      <c r="M15" t="s">
        <v>71</v>
      </c>
    </row>
    <row r="16" spans="1:13" ht="15" customHeight="1" x14ac:dyDescent="0.35">
      <c r="A16">
        <v>2019</v>
      </c>
      <c r="B16" t="s">
        <v>67</v>
      </c>
      <c r="C16" t="s">
        <v>90</v>
      </c>
      <c r="D16" t="s">
        <v>80</v>
      </c>
      <c r="E16" s="24">
        <v>8453</v>
      </c>
      <c r="F16" s="25">
        <v>46937282.289999999</v>
      </c>
      <c r="G16" s="26">
        <v>3.48</v>
      </c>
      <c r="H16" s="26">
        <v>72.73</v>
      </c>
      <c r="I16" s="27">
        <v>23.32</v>
      </c>
      <c r="J16" s="27">
        <v>130.87</v>
      </c>
      <c r="K16" s="26">
        <v>53.81</v>
      </c>
      <c r="L16" t="s">
        <v>73</v>
      </c>
      <c r="M16" t="s">
        <v>71</v>
      </c>
    </row>
    <row r="17" spans="1:13" ht="15" customHeight="1" x14ac:dyDescent="0.35">
      <c r="A17">
        <v>2019</v>
      </c>
      <c r="B17" t="s">
        <v>91</v>
      </c>
      <c r="C17" t="s">
        <v>68</v>
      </c>
      <c r="D17" t="s">
        <v>69</v>
      </c>
      <c r="E17" s="24">
        <v>19160</v>
      </c>
      <c r="F17" s="25">
        <v>6660064.7999999998</v>
      </c>
      <c r="G17" s="26">
        <v>1.56</v>
      </c>
      <c r="H17" s="26">
        <v>67.69</v>
      </c>
      <c r="I17" s="27">
        <v>14.6</v>
      </c>
      <c r="J17" s="27">
        <v>156.93</v>
      </c>
      <c r="K17" s="26">
        <v>64.040000000000006</v>
      </c>
      <c r="L17" t="s">
        <v>75</v>
      </c>
      <c r="M17" t="s">
        <v>92</v>
      </c>
    </row>
    <row r="18" spans="1:13" ht="15" customHeight="1" x14ac:dyDescent="0.35">
      <c r="A18">
        <v>2019</v>
      </c>
      <c r="B18" t="s">
        <v>91</v>
      </c>
      <c r="C18" t="s">
        <v>72</v>
      </c>
      <c r="D18" t="s">
        <v>69</v>
      </c>
      <c r="E18" s="24">
        <v>38253</v>
      </c>
      <c r="F18" s="25">
        <v>53195937</v>
      </c>
      <c r="G18" s="26">
        <v>0</v>
      </c>
      <c r="H18" s="26">
        <v>76.73</v>
      </c>
      <c r="I18" s="27">
        <v>31.96</v>
      </c>
      <c r="J18" s="27">
        <v>273.85000000000002</v>
      </c>
      <c r="K18" s="26">
        <v>38.28</v>
      </c>
      <c r="L18" t="s">
        <v>75</v>
      </c>
      <c r="M18" t="s">
        <v>92</v>
      </c>
    </row>
    <row r="19" spans="1:13" ht="15" customHeight="1" x14ac:dyDescent="0.35">
      <c r="A19">
        <v>2019</v>
      </c>
      <c r="B19" t="s">
        <v>91</v>
      </c>
      <c r="C19" t="s">
        <v>74</v>
      </c>
      <c r="D19" t="s">
        <v>69</v>
      </c>
      <c r="E19" s="24">
        <v>17404</v>
      </c>
      <c r="F19" s="25">
        <v>14950208.85</v>
      </c>
      <c r="G19" s="26">
        <v>2.5099999999999998</v>
      </c>
      <c r="H19" s="26">
        <v>38.86</v>
      </c>
      <c r="I19" s="27">
        <v>36.380000000000003</v>
      </c>
      <c r="J19" s="27">
        <v>105.21</v>
      </c>
      <c r="K19" s="26">
        <v>67.78</v>
      </c>
      <c r="L19" t="s">
        <v>75</v>
      </c>
      <c r="M19" t="s">
        <v>92</v>
      </c>
    </row>
    <row r="20" spans="1:13" ht="15" customHeight="1" x14ac:dyDescent="0.35">
      <c r="A20">
        <v>2019</v>
      </c>
      <c r="B20" t="s">
        <v>91</v>
      </c>
      <c r="C20" t="s">
        <v>76</v>
      </c>
      <c r="D20" t="s">
        <v>69</v>
      </c>
      <c r="E20" s="24">
        <v>27841</v>
      </c>
      <c r="F20" s="25">
        <v>9787426.5199999996</v>
      </c>
      <c r="G20" s="26">
        <v>3.96</v>
      </c>
      <c r="H20" s="26">
        <v>75.22</v>
      </c>
      <c r="I20" s="27">
        <v>46.41</v>
      </c>
      <c r="J20" s="27">
        <v>283.25</v>
      </c>
      <c r="K20" s="26">
        <v>44.96</v>
      </c>
      <c r="L20" t="s">
        <v>75</v>
      </c>
      <c r="M20" t="s">
        <v>92</v>
      </c>
    </row>
    <row r="21" spans="1:13" ht="15" customHeight="1" x14ac:dyDescent="0.35">
      <c r="A21">
        <v>2019</v>
      </c>
      <c r="B21" t="s">
        <v>91</v>
      </c>
      <c r="C21" t="s">
        <v>78</v>
      </c>
      <c r="D21" t="s">
        <v>69</v>
      </c>
      <c r="E21" s="24">
        <v>10047</v>
      </c>
      <c r="F21" s="25">
        <v>10691516.9</v>
      </c>
      <c r="G21" s="26">
        <v>1.56</v>
      </c>
      <c r="H21" s="26">
        <v>45.75</v>
      </c>
      <c r="I21" s="27">
        <v>15.36</v>
      </c>
      <c r="J21" s="27">
        <v>112.81</v>
      </c>
      <c r="K21" s="26">
        <v>85.33</v>
      </c>
      <c r="L21" t="s">
        <v>75</v>
      </c>
      <c r="M21" t="s">
        <v>92</v>
      </c>
    </row>
    <row r="22" spans="1:13" ht="15" customHeight="1" x14ac:dyDescent="0.35">
      <c r="A22">
        <v>2019</v>
      </c>
      <c r="B22" t="s">
        <v>91</v>
      </c>
      <c r="C22" t="s">
        <v>79</v>
      </c>
      <c r="D22" t="s">
        <v>80</v>
      </c>
      <c r="E22" s="24">
        <v>25054</v>
      </c>
      <c r="F22" s="25">
        <v>40495943.740000002</v>
      </c>
      <c r="G22" s="26">
        <v>4.6399999999999997</v>
      </c>
      <c r="H22" s="26">
        <v>67.39</v>
      </c>
      <c r="I22" s="27">
        <v>21.03</v>
      </c>
      <c r="J22" s="27">
        <v>212.78</v>
      </c>
      <c r="K22" s="26">
        <v>63.69</v>
      </c>
      <c r="L22" t="s">
        <v>83</v>
      </c>
      <c r="M22" t="s">
        <v>92</v>
      </c>
    </row>
    <row r="23" spans="1:13" ht="15" customHeight="1" x14ac:dyDescent="0.35">
      <c r="A23">
        <v>2019</v>
      </c>
      <c r="B23" t="s">
        <v>91</v>
      </c>
      <c r="C23" t="s">
        <v>81</v>
      </c>
      <c r="D23" t="s">
        <v>80</v>
      </c>
      <c r="E23" s="24">
        <v>37263</v>
      </c>
      <c r="F23" s="25">
        <v>29763310.309999999</v>
      </c>
      <c r="G23" s="26">
        <v>2.76</v>
      </c>
      <c r="H23" s="26">
        <v>55.56</v>
      </c>
      <c r="I23" s="27">
        <v>16.03</v>
      </c>
      <c r="J23" s="27">
        <v>263.32</v>
      </c>
      <c r="K23" s="26">
        <v>64.63</v>
      </c>
      <c r="L23" t="s">
        <v>70</v>
      </c>
      <c r="M23" t="s">
        <v>92</v>
      </c>
    </row>
    <row r="24" spans="1:13" ht="15" customHeight="1" x14ac:dyDescent="0.35">
      <c r="A24">
        <v>2019</v>
      </c>
      <c r="B24" t="s">
        <v>91</v>
      </c>
      <c r="C24" t="s">
        <v>82</v>
      </c>
      <c r="D24" t="s">
        <v>80</v>
      </c>
      <c r="E24" s="24">
        <v>39191</v>
      </c>
      <c r="F24" s="25">
        <v>19631909.34</v>
      </c>
      <c r="G24" s="26">
        <v>3.35</v>
      </c>
      <c r="H24" s="26">
        <v>100</v>
      </c>
      <c r="I24" s="27">
        <v>49.18</v>
      </c>
      <c r="J24" s="27">
        <v>59.84</v>
      </c>
      <c r="K24" s="26">
        <v>53.2</v>
      </c>
      <c r="L24" t="s">
        <v>77</v>
      </c>
      <c r="M24" t="s">
        <v>92</v>
      </c>
    </row>
    <row r="25" spans="1:13" ht="15" customHeight="1" x14ac:dyDescent="0.35">
      <c r="A25">
        <v>2019</v>
      </c>
      <c r="B25" t="s">
        <v>91</v>
      </c>
      <c r="C25" t="s">
        <v>84</v>
      </c>
      <c r="D25" t="s">
        <v>80</v>
      </c>
      <c r="E25" s="24">
        <v>11320</v>
      </c>
      <c r="F25" s="25">
        <v>36678245.920000002</v>
      </c>
      <c r="G25" s="26">
        <v>5.99</v>
      </c>
      <c r="H25" s="26">
        <v>50.12</v>
      </c>
      <c r="I25" s="27">
        <v>43.18</v>
      </c>
      <c r="J25" s="27">
        <v>251.51</v>
      </c>
      <c r="K25" s="26">
        <v>88.81</v>
      </c>
      <c r="L25" t="s">
        <v>77</v>
      </c>
      <c r="M25" t="s">
        <v>92</v>
      </c>
    </row>
    <row r="26" spans="1:13" ht="15" customHeight="1" x14ac:dyDescent="0.35">
      <c r="A26">
        <v>2019</v>
      </c>
      <c r="B26" t="s">
        <v>91</v>
      </c>
      <c r="C26" t="s">
        <v>85</v>
      </c>
      <c r="D26" t="s">
        <v>80</v>
      </c>
      <c r="E26" s="24">
        <v>31105</v>
      </c>
      <c r="F26" s="25">
        <v>12818738.02</v>
      </c>
      <c r="G26" s="26">
        <v>4.7699999999999996</v>
      </c>
      <c r="H26" s="26">
        <v>93.04</v>
      </c>
      <c r="I26" s="27">
        <v>20.52</v>
      </c>
      <c r="J26" s="27">
        <v>110.55</v>
      </c>
      <c r="K26" s="26">
        <v>73.069999999999993</v>
      </c>
      <c r="L26" t="s">
        <v>77</v>
      </c>
      <c r="M26" t="s">
        <v>92</v>
      </c>
    </row>
    <row r="27" spans="1:13" ht="15" customHeight="1" x14ac:dyDescent="0.35">
      <c r="A27">
        <v>2019</v>
      </c>
      <c r="B27" t="s">
        <v>91</v>
      </c>
      <c r="C27" t="s">
        <v>86</v>
      </c>
      <c r="D27" t="s">
        <v>80</v>
      </c>
      <c r="E27" s="24">
        <v>24185</v>
      </c>
      <c r="F27" s="25">
        <v>52192972.549999997</v>
      </c>
      <c r="G27" s="26">
        <v>2.95</v>
      </c>
      <c r="H27" s="26">
        <v>40.549999999999997</v>
      </c>
      <c r="I27" s="27">
        <v>46.73</v>
      </c>
      <c r="J27" s="27">
        <v>200.47</v>
      </c>
      <c r="K27" s="26">
        <v>83.06</v>
      </c>
      <c r="L27" t="s">
        <v>75</v>
      </c>
      <c r="M27" t="s">
        <v>92</v>
      </c>
    </row>
    <row r="28" spans="1:13" ht="15" customHeight="1" x14ac:dyDescent="0.35">
      <c r="A28">
        <v>2019</v>
      </c>
      <c r="B28" t="s">
        <v>91</v>
      </c>
      <c r="C28" t="s">
        <v>87</v>
      </c>
      <c r="D28" t="s">
        <v>80</v>
      </c>
      <c r="E28" s="24">
        <v>8422</v>
      </c>
      <c r="F28" s="25">
        <v>11292488.050000001</v>
      </c>
      <c r="G28" s="26">
        <v>6</v>
      </c>
      <c r="H28" s="26">
        <v>55.76</v>
      </c>
      <c r="I28" s="27">
        <v>30.55</v>
      </c>
      <c r="J28" s="27">
        <v>170.31</v>
      </c>
      <c r="K28" s="26">
        <v>78.44</v>
      </c>
      <c r="L28" t="s">
        <v>73</v>
      </c>
      <c r="M28" t="s">
        <v>92</v>
      </c>
    </row>
    <row r="29" spans="1:13" ht="15" customHeight="1" x14ac:dyDescent="0.35">
      <c r="A29">
        <v>2019</v>
      </c>
      <c r="B29" t="s">
        <v>91</v>
      </c>
      <c r="C29" t="s">
        <v>88</v>
      </c>
      <c r="D29" t="s">
        <v>80</v>
      </c>
      <c r="E29" s="24">
        <v>56397</v>
      </c>
      <c r="F29" s="25">
        <v>18390883.850000001</v>
      </c>
      <c r="G29" s="26">
        <v>6.11</v>
      </c>
      <c r="H29" s="26">
        <v>70.959999999999994</v>
      </c>
      <c r="I29" s="27">
        <v>23.8</v>
      </c>
      <c r="J29" s="27">
        <v>167.75</v>
      </c>
      <c r="K29" s="26">
        <v>55.21</v>
      </c>
      <c r="L29" t="s">
        <v>77</v>
      </c>
      <c r="M29" t="s">
        <v>92</v>
      </c>
    </row>
    <row r="30" spans="1:13" ht="15" customHeight="1" x14ac:dyDescent="0.35">
      <c r="A30">
        <v>2019</v>
      </c>
      <c r="B30" t="s">
        <v>91</v>
      </c>
      <c r="C30" t="s">
        <v>89</v>
      </c>
      <c r="D30" t="s">
        <v>80</v>
      </c>
      <c r="E30" s="24">
        <v>36613</v>
      </c>
      <c r="F30" s="25">
        <v>63070767.789999999</v>
      </c>
      <c r="G30" s="26">
        <v>3.25</v>
      </c>
      <c r="H30" s="26">
        <v>83.96</v>
      </c>
      <c r="I30" s="27">
        <v>13.22</v>
      </c>
      <c r="J30" s="27">
        <v>280.73</v>
      </c>
      <c r="K30" s="26">
        <v>75.510000000000005</v>
      </c>
      <c r="L30" t="s">
        <v>77</v>
      </c>
      <c r="M30" t="s">
        <v>92</v>
      </c>
    </row>
    <row r="31" spans="1:13" ht="15" customHeight="1" x14ac:dyDescent="0.35">
      <c r="A31">
        <v>2019</v>
      </c>
      <c r="B31" t="s">
        <v>91</v>
      </c>
      <c r="C31" t="s">
        <v>90</v>
      </c>
      <c r="D31" t="s">
        <v>80</v>
      </c>
      <c r="E31" s="24">
        <v>12030</v>
      </c>
      <c r="F31" s="25">
        <v>33549565.920000002</v>
      </c>
      <c r="G31" s="26">
        <v>5.82</v>
      </c>
      <c r="H31" s="26">
        <v>48.62</v>
      </c>
      <c r="I31" s="27">
        <v>36.32</v>
      </c>
      <c r="J31" s="27">
        <v>227.63</v>
      </c>
      <c r="K31" s="26">
        <v>91.79</v>
      </c>
      <c r="L31" t="s">
        <v>73</v>
      </c>
      <c r="M31" t="s">
        <v>92</v>
      </c>
    </row>
    <row r="32" spans="1:13" ht="15" customHeight="1" x14ac:dyDescent="0.35">
      <c r="A32">
        <v>2019</v>
      </c>
      <c r="B32" t="s">
        <v>93</v>
      </c>
      <c r="C32" t="s">
        <v>68</v>
      </c>
      <c r="D32" t="s">
        <v>69</v>
      </c>
      <c r="E32" s="24">
        <v>27112</v>
      </c>
      <c r="F32" s="25">
        <v>27051337.739999998</v>
      </c>
      <c r="G32" s="26">
        <v>3.78</v>
      </c>
      <c r="H32" s="26">
        <v>61.35</v>
      </c>
      <c r="I32" s="27">
        <v>47.48</v>
      </c>
      <c r="J32" s="27">
        <v>152</v>
      </c>
      <c r="K32" s="26">
        <v>50.23</v>
      </c>
      <c r="L32" t="s">
        <v>77</v>
      </c>
      <c r="M32" t="s">
        <v>94</v>
      </c>
    </row>
    <row r="33" spans="1:13" ht="15" customHeight="1" x14ac:dyDescent="0.35">
      <c r="A33">
        <v>2019</v>
      </c>
      <c r="B33" t="s">
        <v>93</v>
      </c>
      <c r="C33" t="s">
        <v>72</v>
      </c>
      <c r="D33" t="s">
        <v>69</v>
      </c>
      <c r="E33" s="24">
        <v>28788</v>
      </c>
      <c r="F33" s="25">
        <v>10130230.560000001</v>
      </c>
      <c r="G33" s="26">
        <v>1.38</v>
      </c>
      <c r="H33" s="26">
        <v>25.88</v>
      </c>
      <c r="I33" s="27">
        <v>6.92</v>
      </c>
      <c r="J33" s="27">
        <v>129.04</v>
      </c>
      <c r="K33" s="26">
        <v>46.41</v>
      </c>
      <c r="L33" t="s">
        <v>75</v>
      </c>
      <c r="M33" t="s">
        <v>94</v>
      </c>
    </row>
    <row r="34" spans="1:13" ht="15" customHeight="1" x14ac:dyDescent="0.35">
      <c r="A34">
        <v>2019</v>
      </c>
      <c r="B34" t="s">
        <v>93</v>
      </c>
      <c r="C34" t="s">
        <v>74</v>
      </c>
      <c r="D34" t="s">
        <v>69</v>
      </c>
      <c r="E34" s="24">
        <v>29329</v>
      </c>
      <c r="F34" s="25">
        <v>11066723.119999999</v>
      </c>
      <c r="G34" s="26">
        <v>1.23</v>
      </c>
      <c r="H34" s="26">
        <v>57.98</v>
      </c>
      <c r="I34" s="27">
        <v>32.340000000000003</v>
      </c>
      <c r="J34" s="27">
        <v>132.81</v>
      </c>
      <c r="K34" s="26">
        <v>77.31</v>
      </c>
      <c r="L34" t="s">
        <v>70</v>
      </c>
      <c r="M34" t="s">
        <v>94</v>
      </c>
    </row>
    <row r="35" spans="1:13" ht="15" customHeight="1" x14ac:dyDescent="0.35">
      <c r="A35">
        <v>2019</v>
      </c>
      <c r="B35" t="s">
        <v>93</v>
      </c>
      <c r="C35" t="s">
        <v>76</v>
      </c>
      <c r="D35" t="s">
        <v>69</v>
      </c>
      <c r="E35" s="24">
        <v>12535</v>
      </c>
      <c r="F35" s="25">
        <v>28466176.109999999</v>
      </c>
      <c r="G35" s="26">
        <v>2.09</v>
      </c>
      <c r="H35" s="26">
        <v>55.61</v>
      </c>
      <c r="I35" s="27">
        <v>31.12</v>
      </c>
      <c r="J35" s="27">
        <v>111.28</v>
      </c>
      <c r="K35" s="26">
        <v>47.14</v>
      </c>
      <c r="L35" t="s">
        <v>73</v>
      </c>
      <c r="M35" t="s">
        <v>94</v>
      </c>
    </row>
    <row r="36" spans="1:13" ht="15" customHeight="1" x14ac:dyDescent="0.35">
      <c r="A36">
        <v>2019</v>
      </c>
      <c r="B36" t="s">
        <v>93</v>
      </c>
      <c r="C36" t="s">
        <v>78</v>
      </c>
      <c r="D36" t="s">
        <v>69</v>
      </c>
      <c r="E36" s="24">
        <v>20683</v>
      </c>
      <c r="F36" s="25">
        <v>15828498.960000001</v>
      </c>
      <c r="G36" s="26">
        <v>0.34</v>
      </c>
      <c r="H36" s="26">
        <v>30.32</v>
      </c>
      <c r="I36" s="27">
        <v>0</v>
      </c>
      <c r="J36" s="27">
        <v>239.67</v>
      </c>
      <c r="K36" s="26">
        <v>46.13</v>
      </c>
      <c r="L36" t="s">
        <v>83</v>
      </c>
      <c r="M36" t="s">
        <v>94</v>
      </c>
    </row>
    <row r="37" spans="1:13" ht="15" customHeight="1" x14ac:dyDescent="0.35">
      <c r="A37">
        <v>2019</v>
      </c>
      <c r="B37" t="s">
        <v>93</v>
      </c>
      <c r="C37" t="s">
        <v>79</v>
      </c>
      <c r="D37" t="s">
        <v>80</v>
      </c>
      <c r="E37" s="24">
        <v>57404</v>
      </c>
      <c r="F37" s="25">
        <v>22248956.960000001</v>
      </c>
      <c r="G37" s="26">
        <v>6.12</v>
      </c>
      <c r="H37" s="26">
        <v>83.5</v>
      </c>
      <c r="I37" s="27">
        <v>46.57</v>
      </c>
      <c r="J37" s="27">
        <v>211.08</v>
      </c>
      <c r="K37" s="26">
        <v>58.89</v>
      </c>
      <c r="L37" t="s">
        <v>83</v>
      </c>
      <c r="M37" t="s">
        <v>94</v>
      </c>
    </row>
    <row r="38" spans="1:13" ht="15" customHeight="1" x14ac:dyDescent="0.35">
      <c r="A38">
        <v>2019</v>
      </c>
      <c r="B38" t="s">
        <v>93</v>
      </c>
      <c r="C38" t="s">
        <v>81</v>
      </c>
      <c r="D38" t="s">
        <v>80</v>
      </c>
      <c r="E38" s="24">
        <v>56869</v>
      </c>
      <c r="F38" s="25">
        <v>78970161.310000002</v>
      </c>
      <c r="G38" s="26">
        <v>6.12</v>
      </c>
      <c r="H38" s="26">
        <v>100</v>
      </c>
      <c r="I38" s="27">
        <v>21.09</v>
      </c>
      <c r="J38" s="27">
        <v>83.18</v>
      </c>
      <c r="K38" s="26">
        <v>94.7</v>
      </c>
      <c r="L38" t="s">
        <v>73</v>
      </c>
      <c r="M38" t="s">
        <v>94</v>
      </c>
    </row>
    <row r="39" spans="1:13" ht="15" customHeight="1" x14ac:dyDescent="0.35">
      <c r="A39">
        <v>2019</v>
      </c>
      <c r="B39" t="s">
        <v>93</v>
      </c>
      <c r="C39" t="s">
        <v>82</v>
      </c>
      <c r="D39" t="s">
        <v>80</v>
      </c>
      <c r="E39" s="24">
        <v>6542</v>
      </c>
      <c r="F39" s="25">
        <v>13222480.68</v>
      </c>
      <c r="G39" s="26">
        <v>3.5</v>
      </c>
      <c r="H39" s="26">
        <v>88.84</v>
      </c>
      <c r="I39" s="27">
        <v>26.74</v>
      </c>
      <c r="J39" s="27">
        <v>115.63</v>
      </c>
      <c r="K39" s="26">
        <v>54.75</v>
      </c>
      <c r="L39" t="s">
        <v>70</v>
      </c>
      <c r="M39" t="s">
        <v>94</v>
      </c>
    </row>
    <row r="40" spans="1:13" ht="15" customHeight="1" x14ac:dyDescent="0.35">
      <c r="A40">
        <v>2019</v>
      </c>
      <c r="B40" t="s">
        <v>93</v>
      </c>
      <c r="C40" t="s">
        <v>84</v>
      </c>
      <c r="D40" t="s">
        <v>80</v>
      </c>
      <c r="E40" s="24">
        <v>57951</v>
      </c>
      <c r="F40" s="25">
        <v>41600297.390000001</v>
      </c>
      <c r="G40" s="26">
        <v>2.72</v>
      </c>
      <c r="H40" s="26">
        <v>55.58</v>
      </c>
      <c r="I40" s="27">
        <v>17.57</v>
      </c>
      <c r="J40" s="27">
        <v>184.77</v>
      </c>
      <c r="K40" s="26">
        <v>67.900000000000006</v>
      </c>
      <c r="L40" t="s">
        <v>70</v>
      </c>
      <c r="M40" t="s">
        <v>94</v>
      </c>
    </row>
    <row r="41" spans="1:13" ht="15" customHeight="1" x14ac:dyDescent="0.35">
      <c r="A41">
        <v>2019</v>
      </c>
      <c r="B41" t="s">
        <v>93</v>
      </c>
      <c r="C41" t="s">
        <v>85</v>
      </c>
      <c r="D41" t="s">
        <v>80</v>
      </c>
      <c r="E41" s="24">
        <v>25004</v>
      </c>
      <c r="F41" s="25">
        <v>28940719.489999998</v>
      </c>
      <c r="G41" s="26">
        <v>6.33</v>
      </c>
      <c r="H41" s="26">
        <v>45.56</v>
      </c>
      <c r="I41" s="27">
        <v>44.29</v>
      </c>
      <c r="J41" s="27">
        <v>124.19</v>
      </c>
      <c r="K41" s="26">
        <v>54.15</v>
      </c>
      <c r="L41" t="s">
        <v>83</v>
      </c>
      <c r="M41" t="s">
        <v>94</v>
      </c>
    </row>
    <row r="42" spans="1:13" ht="15" customHeight="1" x14ac:dyDescent="0.35">
      <c r="A42">
        <v>2019</v>
      </c>
      <c r="B42" t="s">
        <v>93</v>
      </c>
      <c r="C42" t="s">
        <v>86</v>
      </c>
      <c r="D42" t="s">
        <v>80</v>
      </c>
      <c r="E42" s="24">
        <v>15756</v>
      </c>
      <c r="F42" s="25">
        <v>19796585.920000002</v>
      </c>
      <c r="G42" s="26">
        <v>3.58</v>
      </c>
      <c r="H42" s="26">
        <v>76.64</v>
      </c>
      <c r="I42" s="27">
        <v>36.22</v>
      </c>
      <c r="J42" s="27">
        <v>206.39</v>
      </c>
      <c r="K42" s="26">
        <v>88.16</v>
      </c>
      <c r="L42" t="s">
        <v>75</v>
      </c>
      <c r="M42" t="s">
        <v>94</v>
      </c>
    </row>
    <row r="43" spans="1:13" ht="15" customHeight="1" x14ac:dyDescent="0.35">
      <c r="A43">
        <v>2019</v>
      </c>
      <c r="B43" t="s">
        <v>93</v>
      </c>
      <c r="C43" t="s">
        <v>87</v>
      </c>
      <c r="D43" t="s">
        <v>80</v>
      </c>
      <c r="E43" s="24">
        <v>56418</v>
      </c>
      <c r="F43" s="25">
        <v>53656997.799999997</v>
      </c>
      <c r="G43" s="26">
        <v>6.91</v>
      </c>
      <c r="H43" s="26">
        <v>54.03</v>
      </c>
      <c r="I43" s="27">
        <v>24.27</v>
      </c>
      <c r="J43" s="27">
        <v>61.49</v>
      </c>
      <c r="K43" s="26">
        <v>87.97</v>
      </c>
      <c r="L43" t="s">
        <v>75</v>
      </c>
      <c r="M43" t="s">
        <v>94</v>
      </c>
    </row>
    <row r="44" spans="1:13" ht="15" customHeight="1" x14ac:dyDescent="0.35">
      <c r="A44">
        <v>2019</v>
      </c>
      <c r="B44" t="s">
        <v>93</v>
      </c>
      <c r="C44" t="s">
        <v>88</v>
      </c>
      <c r="D44" t="s">
        <v>80</v>
      </c>
      <c r="E44" s="24">
        <v>30819</v>
      </c>
      <c r="F44" s="25">
        <v>60274563.340000004</v>
      </c>
      <c r="G44" s="26">
        <v>3.44</v>
      </c>
      <c r="H44" s="26">
        <v>41.17</v>
      </c>
      <c r="I44" s="27">
        <v>26.42</v>
      </c>
      <c r="J44" s="27">
        <v>199.68</v>
      </c>
      <c r="K44" s="26">
        <v>61.6</v>
      </c>
      <c r="L44" t="s">
        <v>77</v>
      </c>
      <c r="M44" t="s">
        <v>94</v>
      </c>
    </row>
    <row r="45" spans="1:13" ht="15" customHeight="1" x14ac:dyDescent="0.35">
      <c r="A45">
        <v>2019</v>
      </c>
      <c r="B45" t="s">
        <v>93</v>
      </c>
      <c r="C45" t="s">
        <v>89</v>
      </c>
      <c r="D45" t="s">
        <v>80</v>
      </c>
      <c r="E45" s="24">
        <v>18284</v>
      </c>
      <c r="F45" s="25">
        <v>26788292.559999999</v>
      </c>
      <c r="G45" s="26">
        <v>6.45</v>
      </c>
      <c r="H45" s="26">
        <v>80</v>
      </c>
      <c r="I45" s="27">
        <v>23.63</v>
      </c>
      <c r="J45" s="27">
        <v>137.72999999999999</v>
      </c>
      <c r="K45" s="26">
        <v>81.319999999999993</v>
      </c>
      <c r="L45" t="s">
        <v>73</v>
      </c>
      <c r="M45" t="s">
        <v>94</v>
      </c>
    </row>
    <row r="46" spans="1:13" ht="15" customHeight="1" x14ac:dyDescent="0.35">
      <c r="A46">
        <v>2019</v>
      </c>
      <c r="B46" t="s">
        <v>93</v>
      </c>
      <c r="C46" t="s">
        <v>90</v>
      </c>
      <c r="D46" t="s">
        <v>80</v>
      </c>
      <c r="E46" s="24">
        <v>48617</v>
      </c>
      <c r="F46" s="25">
        <v>6134803.46</v>
      </c>
      <c r="G46" s="26">
        <v>6.48</v>
      </c>
      <c r="H46" s="26">
        <v>91.79</v>
      </c>
      <c r="I46" s="27">
        <v>54.94</v>
      </c>
      <c r="J46" s="27">
        <v>88.28</v>
      </c>
      <c r="K46" s="26">
        <v>82.55</v>
      </c>
      <c r="L46" t="s">
        <v>73</v>
      </c>
      <c r="M46" t="s">
        <v>94</v>
      </c>
    </row>
    <row r="47" spans="1:13" ht="15" customHeight="1" x14ac:dyDescent="0.35">
      <c r="A47">
        <v>2019</v>
      </c>
      <c r="B47" t="s">
        <v>95</v>
      </c>
      <c r="C47" t="s">
        <v>68</v>
      </c>
      <c r="D47" t="s">
        <v>69</v>
      </c>
      <c r="E47" s="24">
        <v>30040</v>
      </c>
      <c r="F47" s="25">
        <v>34166065.189999998</v>
      </c>
      <c r="G47" s="26">
        <v>1.57</v>
      </c>
      <c r="H47" s="26">
        <v>28.49</v>
      </c>
      <c r="I47" s="27">
        <v>47.01</v>
      </c>
      <c r="J47" s="27">
        <v>243.47</v>
      </c>
      <c r="K47" s="26">
        <v>58.24</v>
      </c>
      <c r="L47" t="s">
        <v>77</v>
      </c>
      <c r="M47" t="s">
        <v>96</v>
      </c>
    </row>
    <row r="48" spans="1:13" ht="15" customHeight="1" x14ac:dyDescent="0.35">
      <c r="A48">
        <v>2019</v>
      </c>
      <c r="B48" t="s">
        <v>95</v>
      </c>
      <c r="C48" t="s">
        <v>72</v>
      </c>
      <c r="D48" t="s">
        <v>69</v>
      </c>
      <c r="E48" s="24">
        <v>40978</v>
      </c>
      <c r="F48" s="25">
        <v>52202051.460000001</v>
      </c>
      <c r="G48" s="26">
        <v>0.34</v>
      </c>
      <c r="H48" s="26">
        <v>39.979999999999997</v>
      </c>
      <c r="I48" s="27">
        <v>44.96</v>
      </c>
      <c r="J48" s="27">
        <v>130.25</v>
      </c>
      <c r="K48" s="26">
        <v>45.44</v>
      </c>
      <c r="L48" t="s">
        <v>83</v>
      </c>
      <c r="M48" t="s">
        <v>96</v>
      </c>
    </row>
    <row r="49" spans="1:13" ht="15" customHeight="1" x14ac:dyDescent="0.35">
      <c r="A49">
        <v>2019</v>
      </c>
      <c r="B49" t="s">
        <v>95</v>
      </c>
      <c r="C49" t="s">
        <v>74</v>
      </c>
      <c r="D49" t="s">
        <v>69</v>
      </c>
      <c r="E49" s="24">
        <v>46113</v>
      </c>
      <c r="F49" s="25">
        <v>23485210.48</v>
      </c>
      <c r="G49" s="26">
        <v>1.89</v>
      </c>
      <c r="H49" s="26">
        <v>69.900000000000006</v>
      </c>
      <c r="I49" s="27">
        <v>13.34</v>
      </c>
      <c r="J49" s="27">
        <v>167.31</v>
      </c>
      <c r="K49" s="26">
        <v>45.48</v>
      </c>
      <c r="L49" t="s">
        <v>83</v>
      </c>
      <c r="M49" t="s">
        <v>96</v>
      </c>
    </row>
    <row r="50" spans="1:13" ht="15" customHeight="1" x14ac:dyDescent="0.35">
      <c r="A50">
        <v>2019</v>
      </c>
      <c r="B50" t="s">
        <v>95</v>
      </c>
      <c r="C50" t="s">
        <v>76</v>
      </c>
      <c r="D50" t="s">
        <v>69</v>
      </c>
      <c r="E50" s="24">
        <v>8438</v>
      </c>
      <c r="F50" s="25">
        <v>35324703.520000003</v>
      </c>
      <c r="G50" s="26">
        <v>2.29</v>
      </c>
      <c r="H50" s="26">
        <v>80.900000000000006</v>
      </c>
      <c r="I50" s="27">
        <v>10.53</v>
      </c>
      <c r="J50" s="27">
        <v>80.150000000000006</v>
      </c>
      <c r="K50" s="26">
        <v>75.72</v>
      </c>
      <c r="L50" t="s">
        <v>75</v>
      </c>
      <c r="M50" t="s">
        <v>96</v>
      </c>
    </row>
    <row r="51" spans="1:13" ht="15" customHeight="1" x14ac:dyDescent="0.35">
      <c r="A51">
        <v>2019</v>
      </c>
      <c r="B51" t="s">
        <v>95</v>
      </c>
      <c r="C51" t="s">
        <v>78</v>
      </c>
      <c r="D51" t="s">
        <v>69</v>
      </c>
      <c r="E51" s="24">
        <v>23500</v>
      </c>
      <c r="F51" s="25">
        <v>33337345.93</v>
      </c>
      <c r="G51" s="26">
        <v>3.74</v>
      </c>
      <c r="H51" s="26">
        <v>33.06</v>
      </c>
      <c r="I51" s="27">
        <v>18.7</v>
      </c>
      <c r="J51" s="27">
        <v>73.31</v>
      </c>
      <c r="K51" s="26">
        <v>70.739999999999995</v>
      </c>
      <c r="L51" t="s">
        <v>83</v>
      </c>
      <c r="M51" t="s">
        <v>96</v>
      </c>
    </row>
    <row r="52" spans="1:13" ht="15" customHeight="1" x14ac:dyDescent="0.35">
      <c r="A52">
        <v>2019</v>
      </c>
      <c r="B52" t="s">
        <v>95</v>
      </c>
      <c r="C52" t="s">
        <v>79</v>
      </c>
      <c r="D52" t="s">
        <v>80</v>
      </c>
      <c r="E52" s="24">
        <v>40164</v>
      </c>
      <c r="F52" s="25">
        <v>21739755.84</v>
      </c>
      <c r="G52" s="26">
        <v>3.76</v>
      </c>
      <c r="H52" s="26">
        <v>50.13</v>
      </c>
      <c r="I52" s="27">
        <v>13.99</v>
      </c>
      <c r="J52" s="27">
        <v>210.05</v>
      </c>
      <c r="K52" s="26">
        <v>58.83</v>
      </c>
      <c r="L52" t="s">
        <v>73</v>
      </c>
      <c r="M52" t="s">
        <v>96</v>
      </c>
    </row>
    <row r="53" spans="1:13" ht="15" customHeight="1" x14ac:dyDescent="0.35">
      <c r="A53">
        <v>2019</v>
      </c>
      <c r="B53" t="s">
        <v>95</v>
      </c>
      <c r="C53" t="s">
        <v>81</v>
      </c>
      <c r="D53" t="s">
        <v>80</v>
      </c>
      <c r="E53" s="24">
        <v>53367</v>
      </c>
      <c r="F53" s="25">
        <v>69827344.420000002</v>
      </c>
      <c r="G53" s="26">
        <v>6.1</v>
      </c>
      <c r="H53" s="26">
        <v>95.93</v>
      </c>
      <c r="I53" s="27">
        <v>47.57</v>
      </c>
      <c r="J53" s="27">
        <v>185.7</v>
      </c>
      <c r="K53" s="26">
        <v>93.45</v>
      </c>
      <c r="L53" t="s">
        <v>77</v>
      </c>
      <c r="M53" t="s">
        <v>96</v>
      </c>
    </row>
    <row r="54" spans="1:13" ht="15" customHeight="1" x14ac:dyDescent="0.35">
      <c r="A54">
        <v>2019</v>
      </c>
      <c r="B54" t="s">
        <v>95</v>
      </c>
      <c r="C54" t="s">
        <v>82</v>
      </c>
      <c r="D54" t="s">
        <v>80</v>
      </c>
      <c r="E54" s="24">
        <v>37612</v>
      </c>
      <c r="F54" s="25">
        <v>34802846.640000001</v>
      </c>
      <c r="G54" s="26">
        <v>2.5299999999999998</v>
      </c>
      <c r="H54" s="26">
        <v>66.459999999999994</v>
      </c>
      <c r="I54" s="27">
        <v>24.02</v>
      </c>
      <c r="J54" s="27">
        <v>120.07</v>
      </c>
      <c r="K54" s="26">
        <v>87.24</v>
      </c>
      <c r="L54" t="s">
        <v>75</v>
      </c>
      <c r="M54" t="s">
        <v>96</v>
      </c>
    </row>
    <row r="55" spans="1:13" ht="15" customHeight="1" x14ac:dyDescent="0.35">
      <c r="A55">
        <v>2019</v>
      </c>
      <c r="B55" t="s">
        <v>95</v>
      </c>
      <c r="C55" t="s">
        <v>84</v>
      </c>
      <c r="D55" t="s">
        <v>80</v>
      </c>
      <c r="E55" s="24">
        <v>31445</v>
      </c>
      <c r="F55" s="25">
        <v>62662104.5</v>
      </c>
      <c r="G55" s="26">
        <v>4.8600000000000003</v>
      </c>
      <c r="H55" s="26">
        <v>61.44</v>
      </c>
      <c r="I55" s="27">
        <v>27.46</v>
      </c>
      <c r="J55" s="27">
        <v>183.03</v>
      </c>
      <c r="K55" s="26">
        <v>72.209999999999994</v>
      </c>
      <c r="L55" t="s">
        <v>70</v>
      </c>
      <c r="M55" t="s">
        <v>96</v>
      </c>
    </row>
    <row r="56" spans="1:13" ht="15" customHeight="1" x14ac:dyDescent="0.35">
      <c r="A56">
        <v>2019</v>
      </c>
      <c r="B56" t="s">
        <v>95</v>
      </c>
      <c r="C56" t="s">
        <v>85</v>
      </c>
      <c r="D56" t="s">
        <v>80</v>
      </c>
      <c r="E56" s="24">
        <v>34541</v>
      </c>
      <c r="F56" s="25">
        <v>23308775.82</v>
      </c>
      <c r="G56" s="26">
        <v>4.03</v>
      </c>
      <c r="H56" s="26">
        <v>59.35</v>
      </c>
      <c r="I56" s="27">
        <v>8.3699999999999992</v>
      </c>
      <c r="J56" s="27">
        <v>138.66999999999999</v>
      </c>
      <c r="K56" s="26">
        <v>80.349999999999994</v>
      </c>
      <c r="L56" t="s">
        <v>73</v>
      </c>
      <c r="M56" t="s">
        <v>96</v>
      </c>
    </row>
    <row r="57" spans="1:13" ht="15" customHeight="1" x14ac:dyDescent="0.35">
      <c r="A57">
        <v>2019</v>
      </c>
      <c r="B57" t="s">
        <v>95</v>
      </c>
      <c r="C57" t="s">
        <v>86</v>
      </c>
      <c r="D57" t="s">
        <v>80</v>
      </c>
      <c r="E57" s="24">
        <v>6719</v>
      </c>
      <c r="F57" s="25">
        <v>38311286.359999999</v>
      </c>
      <c r="G57" s="26">
        <v>5.38</v>
      </c>
      <c r="H57" s="26">
        <v>42.55</v>
      </c>
      <c r="I57" s="27">
        <v>50.32</v>
      </c>
      <c r="J57" s="27">
        <v>110.97</v>
      </c>
      <c r="K57" s="26">
        <v>87.8</v>
      </c>
      <c r="L57" t="s">
        <v>70</v>
      </c>
      <c r="M57" t="s">
        <v>96</v>
      </c>
    </row>
    <row r="58" spans="1:13" ht="15" customHeight="1" x14ac:dyDescent="0.35">
      <c r="A58">
        <v>2019</v>
      </c>
      <c r="B58" t="s">
        <v>95</v>
      </c>
      <c r="C58" t="s">
        <v>87</v>
      </c>
      <c r="D58" t="s">
        <v>80</v>
      </c>
      <c r="E58" s="24">
        <v>32919</v>
      </c>
      <c r="F58" s="25">
        <v>38143238.390000001</v>
      </c>
      <c r="G58" s="26">
        <v>6.62</v>
      </c>
      <c r="H58" s="26">
        <v>79.48</v>
      </c>
      <c r="I58" s="27">
        <v>45.85</v>
      </c>
      <c r="J58" s="27">
        <v>295.62</v>
      </c>
      <c r="K58" s="26">
        <v>58.71</v>
      </c>
      <c r="L58" t="s">
        <v>77</v>
      </c>
      <c r="M58" t="s">
        <v>96</v>
      </c>
    </row>
    <row r="59" spans="1:13" ht="15" customHeight="1" x14ac:dyDescent="0.35">
      <c r="A59">
        <v>2019</v>
      </c>
      <c r="B59" t="s">
        <v>95</v>
      </c>
      <c r="C59" t="s">
        <v>88</v>
      </c>
      <c r="D59" t="s">
        <v>80</v>
      </c>
      <c r="E59" s="24">
        <v>46371</v>
      </c>
      <c r="F59" s="25">
        <v>71988709.969999999</v>
      </c>
      <c r="G59" s="26">
        <v>3.21</v>
      </c>
      <c r="H59" s="26">
        <v>88.89</v>
      </c>
      <c r="I59" s="27">
        <v>48.87</v>
      </c>
      <c r="J59" s="27">
        <v>265.70999999999998</v>
      </c>
      <c r="K59" s="26">
        <v>90.81</v>
      </c>
      <c r="L59" t="s">
        <v>83</v>
      </c>
      <c r="M59" t="s">
        <v>96</v>
      </c>
    </row>
    <row r="60" spans="1:13" ht="15" customHeight="1" x14ac:dyDescent="0.35">
      <c r="A60">
        <v>2019</v>
      </c>
      <c r="B60" t="s">
        <v>95</v>
      </c>
      <c r="C60" t="s">
        <v>89</v>
      </c>
      <c r="D60" t="s">
        <v>80</v>
      </c>
      <c r="E60" s="24">
        <v>40084</v>
      </c>
      <c r="F60" s="25">
        <v>17163852.829999998</v>
      </c>
      <c r="G60" s="26">
        <v>6.33</v>
      </c>
      <c r="H60" s="26">
        <v>42.8</v>
      </c>
      <c r="I60" s="27">
        <v>48.55</v>
      </c>
      <c r="J60" s="27">
        <v>156.88</v>
      </c>
      <c r="K60" s="26">
        <v>53.55</v>
      </c>
      <c r="L60" t="s">
        <v>70</v>
      </c>
      <c r="M60" t="s">
        <v>96</v>
      </c>
    </row>
    <row r="61" spans="1:13" ht="15" customHeight="1" x14ac:dyDescent="0.35">
      <c r="A61">
        <v>2019</v>
      </c>
      <c r="B61" t="s">
        <v>95</v>
      </c>
      <c r="C61" t="s">
        <v>90</v>
      </c>
      <c r="D61" t="s">
        <v>80</v>
      </c>
      <c r="E61" s="24">
        <v>20192</v>
      </c>
      <c r="F61" s="25">
        <v>14639182.699999999</v>
      </c>
      <c r="G61" s="26">
        <v>4.6100000000000003</v>
      </c>
      <c r="H61" s="26">
        <v>48.26</v>
      </c>
      <c r="I61" s="27">
        <v>50.86</v>
      </c>
      <c r="J61" s="27">
        <v>195.2</v>
      </c>
      <c r="K61" s="26">
        <v>60.91</v>
      </c>
      <c r="L61" t="s">
        <v>73</v>
      </c>
      <c r="M61" t="s">
        <v>96</v>
      </c>
    </row>
    <row r="62" spans="1:13" ht="15" customHeight="1" x14ac:dyDescent="0.35">
      <c r="A62">
        <v>2020</v>
      </c>
      <c r="B62" t="s">
        <v>67</v>
      </c>
      <c r="C62" t="s">
        <v>68</v>
      </c>
      <c r="D62" t="s">
        <v>69</v>
      </c>
      <c r="E62" s="24">
        <v>17825</v>
      </c>
      <c r="F62" s="25">
        <v>37347187.770000003</v>
      </c>
      <c r="G62" s="26">
        <v>0.16</v>
      </c>
      <c r="H62" s="26">
        <v>62.97</v>
      </c>
      <c r="I62" s="27">
        <v>26.44</v>
      </c>
      <c r="J62" s="27">
        <v>245.48</v>
      </c>
      <c r="K62" s="26">
        <v>75.23</v>
      </c>
      <c r="L62" t="s">
        <v>83</v>
      </c>
      <c r="M62" t="s">
        <v>97</v>
      </c>
    </row>
    <row r="63" spans="1:13" ht="15" customHeight="1" x14ac:dyDescent="0.35">
      <c r="A63">
        <v>2020</v>
      </c>
      <c r="B63" t="s">
        <v>67</v>
      </c>
      <c r="C63" t="s">
        <v>72</v>
      </c>
      <c r="D63" t="s">
        <v>69</v>
      </c>
      <c r="E63" s="24">
        <v>21472</v>
      </c>
      <c r="F63" s="25">
        <v>34965645.310000002</v>
      </c>
      <c r="G63" s="26">
        <v>0.25</v>
      </c>
      <c r="H63" s="26">
        <v>49.22</v>
      </c>
      <c r="I63" s="27">
        <v>24.99</v>
      </c>
      <c r="J63" s="27">
        <v>247.01</v>
      </c>
      <c r="K63" s="26">
        <v>80.17</v>
      </c>
      <c r="L63" t="s">
        <v>73</v>
      </c>
      <c r="M63" t="s">
        <v>97</v>
      </c>
    </row>
    <row r="64" spans="1:13" ht="15" customHeight="1" x14ac:dyDescent="0.35">
      <c r="A64">
        <v>2020</v>
      </c>
      <c r="B64" t="s">
        <v>67</v>
      </c>
      <c r="C64" t="s">
        <v>74</v>
      </c>
      <c r="D64" t="s">
        <v>69</v>
      </c>
      <c r="E64" s="24">
        <v>35641</v>
      </c>
      <c r="F64" s="25">
        <v>48775290.390000001</v>
      </c>
      <c r="G64" s="26">
        <v>3.88</v>
      </c>
      <c r="H64" s="26">
        <v>60.51</v>
      </c>
      <c r="I64" s="27">
        <v>6.1</v>
      </c>
      <c r="J64" s="27">
        <v>196.59</v>
      </c>
      <c r="K64" s="26">
        <v>78.94</v>
      </c>
      <c r="L64" t="s">
        <v>77</v>
      </c>
      <c r="M64" t="s">
        <v>97</v>
      </c>
    </row>
    <row r="65" spans="1:13" ht="15" customHeight="1" x14ac:dyDescent="0.35">
      <c r="A65">
        <v>2020</v>
      </c>
      <c r="B65" t="s">
        <v>67</v>
      </c>
      <c r="C65" t="s">
        <v>76</v>
      </c>
      <c r="D65" t="s">
        <v>69</v>
      </c>
      <c r="E65" s="24">
        <v>18960</v>
      </c>
      <c r="F65" s="25">
        <v>25972084.140000001</v>
      </c>
      <c r="G65" s="26">
        <v>0.53</v>
      </c>
      <c r="H65" s="26">
        <v>72.69</v>
      </c>
      <c r="I65" s="27">
        <v>26.51</v>
      </c>
      <c r="J65" s="27">
        <v>157.1</v>
      </c>
      <c r="K65" s="26">
        <v>53.68</v>
      </c>
      <c r="L65" t="s">
        <v>73</v>
      </c>
      <c r="M65" t="s">
        <v>97</v>
      </c>
    </row>
    <row r="66" spans="1:13" ht="15" customHeight="1" x14ac:dyDescent="0.35">
      <c r="A66">
        <v>2020</v>
      </c>
      <c r="B66" t="s">
        <v>67</v>
      </c>
      <c r="C66" t="s">
        <v>78</v>
      </c>
      <c r="D66" t="s">
        <v>69</v>
      </c>
      <c r="E66" s="24">
        <v>18546</v>
      </c>
      <c r="F66" s="25">
        <v>42315159.990000002</v>
      </c>
      <c r="G66" s="26">
        <v>1.81</v>
      </c>
      <c r="H66" s="26">
        <v>58.09</v>
      </c>
      <c r="I66" s="27">
        <v>33.08</v>
      </c>
      <c r="J66" s="27">
        <v>110.9</v>
      </c>
      <c r="K66" s="26">
        <v>49.63</v>
      </c>
      <c r="L66" t="s">
        <v>73</v>
      </c>
      <c r="M66" t="s">
        <v>97</v>
      </c>
    </row>
    <row r="67" spans="1:13" ht="15" customHeight="1" x14ac:dyDescent="0.35">
      <c r="A67">
        <v>2020</v>
      </c>
      <c r="B67" t="s">
        <v>67</v>
      </c>
      <c r="C67" t="s">
        <v>79</v>
      </c>
      <c r="D67" t="s">
        <v>80</v>
      </c>
      <c r="E67" s="24">
        <v>42883</v>
      </c>
      <c r="F67" s="25">
        <v>18588730.370000001</v>
      </c>
      <c r="G67" s="26">
        <v>6.37</v>
      </c>
      <c r="H67" s="26">
        <v>72.87</v>
      </c>
      <c r="I67" s="27">
        <v>45.86</v>
      </c>
      <c r="J67" s="27">
        <v>273.58999999999997</v>
      </c>
      <c r="K67" s="26">
        <v>52.9</v>
      </c>
      <c r="L67" t="s">
        <v>70</v>
      </c>
      <c r="M67" t="s">
        <v>97</v>
      </c>
    </row>
    <row r="68" spans="1:13" ht="15" customHeight="1" x14ac:dyDescent="0.35">
      <c r="A68">
        <v>2020</v>
      </c>
      <c r="B68" t="s">
        <v>67</v>
      </c>
      <c r="C68" t="s">
        <v>81</v>
      </c>
      <c r="D68" t="s">
        <v>80</v>
      </c>
      <c r="E68" s="24">
        <v>49662</v>
      </c>
      <c r="F68" s="25">
        <v>52134225.079999998</v>
      </c>
      <c r="G68" s="26">
        <v>2.9</v>
      </c>
      <c r="H68" s="26">
        <v>96.42</v>
      </c>
      <c r="I68" s="27">
        <v>52.2</v>
      </c>
      <c r="J68" s="27">
        <v>187.23</v>
      </c>
      <c r="K68" s="26">
        <v>76.5</v>
      </c>
      <c r="L68" t="s">
        <v>75</v>
      </c>
      <c r="M68" t="s">
        <v>97</v>
      </c>
    </row>
    <row r="69" spans="1:13" ht="15" customHeight="1" x14ac:dyDescent="0.35">
      <c r="A69">
        <v>2020</v>
      </c>
      <c r="B69" t="s">
        <v>67</v>
      </c>
      <c r="C69" t="s">
        <v>82</v>
      </c>
      <c r="D69" t="s">
        <v>80</v>
      </c>
      <c r="E69" s="24">
        <v>48484</v>
      </c>
      <c r="F69" s="25">
        <v>10752134.16</v>
      </c>
      <c r="G69" s="26">
        <v>3.75</v>
      </c>
      <c r="H69" s="26">
        <v>41.49</v>
      </c>
      <c r="I69" s="27">
        <v>10.67</v>
      </c>
      <c r="J69" s="27">
        <v>87.88</v>
      </c>
      <c r="K69" s="26">
        <v>79.09</v>
      </c>
      <c r="L69" t="s">
        <v>75</v>
      </c>
      <c r="M69" t="s">
        <v>97</v>
      </c>
    </row>
    <row r="70" spans="1:13" ht="15" customHeight="1" x14ac:dyDescent="0.35">
      <c r="A70">
        <v>2020</v>
      </c>
      <c r="B70" t="s">
        <v>67</v>
      </c>
      <c r="C70" t="s">
        <v>84</v>
      </c>
      <c r="D70" t="s">
        <v>80</v>
      </c>
      <c r="E70" s="24">
        <v>11438</v>
      </c>
      <c r="F70" s="25">
        <v>56002244.289999999</v>
      </c>
      <c r="G70" s="26">
        <v>6.33</v>
      </c>
      <c r="H70" s="26">
        <v>93.95</v>
      </c>
      <c r="I70" s="27">
        <v>52.02</v>
      </c>
      <c r="J70" s="27">
        <v>168.24</v>
      </c>
      <c r="K70" s="26">
        <v>63.04</v>
      </c>
      <c r="L70" t="s">
        <v>70</v>
      </c>
      <c r="M70" t="s">
        <v>97</v>
      </c>
    </row>
    <row r="71" spans="1:13" ht="15" customHeight="1" x14ac:dyDescent="0.35">
      <c r="A71">
        <v>2020</v>
      </c>
      <c r="B71" t="s">
        <v>67</v>
      </c>
      <c r="C71" t="s">
        <v>85</v>
      </c>
      <c r="D71" t="s">
        <v>80</v>
      </c>
      <c r="E71" s="24">
        <v>58199</v>
      </c>
      <c r="F71" s="25">
        <v>35481161.409999996</v>
      </c>
      <c r="G71" s="26">
        <v>5.66</v>
      </c>
      <c r="H71" s="26">
        <v>42.96</v>
      </c>
      <c r="I71" s="27">
        <v>27.95</v>
      </c>
      <c r="J71" s="27">
        <v>151.66</v>
      </c>
      <c r="K71" s="26">
        <v>52.29</v>
      </c>
      <c r="L71" t="s">
        <v>73</v>
      </c>
      <c r="M71" t="s">
        <v>97</v>
      </c>
    </row>
    <row r="72" spans="1:13" ht="15" customHeight="1" x14ac:dyDescent="0.35">
      <c r="A72">
        <v>2020</v>
      </c>
      <c r="B72" t="s">
        <v>67</v>
      </c>
      <c r="C72" t="s">
        <v>86</v>
      </c>
      <c r="D72" t="s">
        <v>80</v>
      </c>
      <c r="E72" s="24">
        <v>40807</v>
      </c>
      <c r="F72" s="25">
        <v>28409469.32</v>
      </c>
      <c r="G72" s="26">
        <v>3.04</v>
      </c>
      <c r="H72" s="26">
        <v>47.56</v>
      </c>
      <c r="I72" s="27">
        <v>33.590000000000003</v>
      </c>
      <c r="J72" s="27">
        <v>95.38</v>
      </c>
      <c r="K72" s="26">
        <v>57.91</v>
      </c>
      <c r="L72" t="s">
        <v>73</v>
      </c>
      <c r="M72" t="s">
        <v>97</v>
      </c>
    </row>
    <row r="73" spans="1:13" ht="15" customHeight="1" x14ac:dyDescent="0.35">
      <c r="A73">
        <v>2020</v>
      </c>
      <c r="B73" t="s">
        <v>67</v>
      </c>
      <c r="C73" t="s">
        <v>87</v>
      </c>
      <c r="D73" t="s">
        <v>80</v>
      </c>
      <c r="E73" s="24">
        <v>27476</v>
      </c>
      <c r="F73" s="25">
        <v>29188076.98</v>
      </c>
      <c r="G73" s="26">
        <v>4.96</v>
      </c>
      <c r="H73" s="26">
        <v>54.96</v>
      </c>
      <c r="I73" s="27">
        <v>34.619999999999997</v>
      </c>
      <c r="J73" s="27">
        <v>228.07</v>
      </c>
      <c r="K73" s="26">
        <v>69.239999999999995</v>
      </c>
      <c r="L73" t="s">
        <v>77</v>
      </c>
      <c r="M73" t="s">
        <v>97</v>
      </c>
    </row>
    <row r="74" spans="1:13" ht="15" customHeight="1" x14ac:dyDescent="0.35">
      <c r="A74">
        <v>2020</v>
      </c>
      <c r="B74" t="s">
        <v>67</v>
      </c>
      <c r="C74" t="s">
        <v>88</v>
      </c>
      <c r="D74" t="s">
        <v>80</v>
      </c>
      <c r="E74" s="24">
        <v>25491</v>
      </c>
      <c r="F74" s="25">
        <v>13470114.800000001</v>
      </c>
      <c r="G74" s="26">
        <v>6.6</v>
      </c>
      <c r="H74" s="26">
        <v>70</v>
      </c>
      <c r="I74" s="27">
        <v>41.55</v>
      </c>
      <c r="J74" s="27">
        <v>54.56</v>
      </c>
      <c r="K74" s="26">
        <v>66.45</v>
      </c>
      <c r="L74" t="s">
        <v>75</v>
      </c>
      <c r="M74" t="s">
        <v>97</v>
      </c>
    </row>
    <row r="75" spans="1:13" ht="15" customHeight="1" x14ac:dyDescent="0.35">
      <c r="A75">
        <v>2020</v>
      </c>
      <c r="B75" t="s">
        <v>67</v>
      </c>
      <c r="C75" t="s">
        <v>89</v>
      </c>
      <c r="D75" t="s">
        <v>80</v>
      </c>
      <c r="E75" s="24">
        <v>57319</v>
      </c>
      <c r="F75" s="25">
        <v>64038833.049999997</v>
      </c>
      <c r="G75" s="26">
        <v>5.25</v>
      </c>
      <c r="H75" s="26">
        <v>98.77</v>
      </c>
      <c r="I75" s="27">
        <v>44.44</v>
      </c>
      <c r="J75" s="27">
        <v>187.76</v>
      </c>
      <c r="K75" s="26">
        <v>51.45</v>
      </c>
      <c r="L75" t="s">
        <v>77</v>
      </c>
      <c r="M75" t="s">
        <v>97</v>
      </c>
    </row>
    <row r="76" spans="1:13" ht="15" customHeight="1" x14ac:dyDescent="0.35">
      <c r="A76">
        <v>2020</v>
      </c>
      <c r="B76" t="s">
        <v>67</v>
      </c>
      <c r="C76" t="s">
        <v>90</v>
      </c>
      <c r="D76" t="s">
        <v>80</v>
      </c>
      <c r="E76" s="24">
        <v>53118</v>
      </c>
      <c r="F76" s="25">
        <v>71564619.920000002</v>
      </c>
      <c r="G76" s="26">
        <v>4.21</v>
      </c>
      <c r="H76" s="26">
        <v>100</v>
      </c>
      <c r="I76" s="27">
        <v>52.17</v>
      </c>
      <c r="J76" s="27">
        <v>120.41</v>
      </c>
      <c r="K76" s="26">
        <v>76.81</v>
      </c>
      <c r="L76" t="s">
        <v>77</v>
      </c>
      <c r="M76" t="s">
        <v>97</v>
      </c>
    </row>
    <row r="77" spans="1:13" ht="15" customHeight="1" x14ac:dyDescent="0.35">
      <c r="A77">
        <v>2020</v>
      </c>
      <c r="B77" t="s">
        <v>91</v>
      </c>
      <c r="C77" t="s">
        <v>68</v>
      </c>
      <c r="D77" t="s">
        <v>69</v>
      </c>
      <c r="E77" s="24">
        <v>21197</v>
      </c>
      <c r="F77" s="25">
        <v>22480526.16</v>
      </c>
      <c r="G77" s="26">
        <v>1.84</v>
      </c>
      <c r="H77" s="26">
        <v>39.26</v>
      </c>
      <c r="I77" s="27">
        <v>10.62</v>
      </c>
      <c r="J77" s="27">
        <v>193.23</v>
      </c>
      <c r="K77" s="26">
        <v>38.5</v>
      </c>
      <c r="L77" t="s">
        <v>73</v>
      </c>
      <c r="M77" t="s">
        <v>98</v>
      </c>
    </row>
    <row r="78" spans="1:13" ht="15" customHeight="1" x14ac:dyDescent="0.35">
      <c r="A78">
        <v>2020</v>
      </c>
      <c r="B78" t="s">
        <v>91</v>
      </c>
      <c r="C78" t="s">
        <v>72</v>
      </c>
      <c r="D78" t="s">
        <v>69</v>
      </c>
      <c r="E78" s="24">
        <v>8785</v>
      </c>
      <c r="F78" s="25">
        <v>16339172.24</v>
      </c>
      <c r="G78" s="26">
        <v>0</v>
      </c>
      <c r="H78" s="26">
        <v>50.5</v>
      </c>
      <c r="I78" s="27">
        <v>16.16</v>
      </c>
      <c r="J78" s="27">
        <v>96.06</v>
      </c>
      <c r="K78" s="26">
        <v>70.489999999999995</v>
      </c>
      <c r="L78" t="s">
        <v>83</v>
      </c>
      <c r="M78" t="s">
        <v>98</v>
      </c>
    </row>
    <row r="79" spans="1:13" ht="15" customHeight="1" x14ac:dyDescent="0.35">
      <c r="A79">
        <v>2020</v>
      </c>
      <c r="B79" t="s">
        <v>91</v>
      </c>
      <c r="C79" t="s">
        <v>74</v>
      </c>
      <c r="D79" t="s">
        <v>69</v>
      </c>
      <c r="E79" s="24">
        <v>43775</v>
      </c>
      <c r="F79" s="25">
        <v>10852645.859999999</v>
      </c>
      <c r="G79" s="26">
        <v>2.71</v>
      </c>
      <c r="H79" s="26">
        <v>42.03</v>
      </c>
      <c r="I79" s="27">
        <v>29.43</v>
      </c>
      <c r="J79" s="27">
        <v>282.82</v>
      </c>
      <c r="K79" s="26">
        <v>64.08</v>
      </c>
      <c r="L79" t="s">
        <v>83</v>
      </c>
      <c r="M79" t="s">
        <v>98</v>
      </c>
    </row>
    <row r="80" spans="1:13" ht="15" customHeight="1" x14ac:dyDescent="0.35">
      <c r="A80">
        <v>2020</v>
      </c>
      <c r="B80" t="s">
        <v>91</v>
      </c>
      <c r="C80" t="s">
        <v>76</v>
      </c>
      <c r="D80" t="s">
        <v>69</v>
      </c>
      <c r="E80" s="24">
        <v>29178</v>
      </c>
      <c r="F80" s="25">
        <v>41803911.049999997</v>
      </c>
      <c r="G80" s="26">
        <v>2.59</v>
      </c>
      <c r="H80" s="26">
        <v>47.84</v>
      </c>
      <c r="I80" s="27">
        <v>16.52</v>
      </c>
      <c r="J80" s="27">
        <v>134.32</v>
      </c>
      <c r="K80" s="26">
        <v>74.930000000000007</v>
      </c>
      <c r="L80" t="s">
        <v>73</v>
      </c>
      <c r="M80" t="s">
        <v>98</v>
      </c>
    </row>
    <row r="81" spans="1:13" ht="15" customHeight="1" x14ac:dyDescent="0.35">
      <c r="A81">
        <v>2020</v>
      </c>
      <c r="B81" t="s">
        <v>91</v>
      </c>
      <c r="C81" t="s">
        <v>78</v>
      </c>
      <c r="D81" t="s">
        <v>69</v>
      </c>
      <c r="E81" s="24">
        <v>8601</v>
      </c>
      <c r="F81" s="25">
        <v>32922566.239999998</v>
      </c>
      <c r="G81" s="26">
        <v>2.99</v>
      </c>
      <c r="H81" s="26">
        <v>82.16</v>
      </c>
      <c r="I81" s="27">
        <v>47.56</v>
      </c>
      <c r="J81" s="27">
        <v>139.41999999999999</v>
      </c>
      <c r="K81" s="26">
        <v>52.96</v>
      </c>
      <c r="L81" t="s">
        <v>70</v>
      </c>
      <c r="M81" t="s">
        <v>98</v>
      </c>
    </row>
    <row r="82" spans="1:13" ht="15" customHeight="1" x14ac:dyDescent="0.35">
      <c r="A82">
        <v>2020</v>
      </c>
      <c r="B82" t="s">
        <v>91</v>
      </c>
      <c r="C82" t="s">
        <v>79</v>
      </c>
      <c r="D82" t="s">
        <v>80</v>
      </c>
      <c r="E82" s="24">
        <v>51214</v>
      </c>
      <c r="F82" s="25">
        <v>22604101.449999999</v>
      </c>
      <c r="G82" s="26">
        <v>3.88</v>
      </c>
      <c r="H82" s="26">
        <v>98.74</v>
      </c>
      <c r="I82" s="27">
        <v>29.87</v>
      </c>
      <c r="J82" s="27">
        <v>153.44999999999999</v>
      </c>
      <c r="K82" s="26">
        <v>54.94</v>
      </c>
      <c r="L82" t="s">
        <v>77</v>
      </c>
      <c r="M82" t="s">
        <v>98</v>
      </c>
    </row>
    <row r="83" spans="1:13" ht="15" customHeight="1" x14ac:dyDescent="0.35">
      <c r="A83">
        <v>2020</v>
      </c>
      <c r="B83" t="s">
        <v>91</v>
      </c>
      <c r="C83" t="s">
        <v>81</v>
      </c>
      <c r="D83" t="s">
        <v>80</v>
      </c>
      <c r="E83" s="24">
        <v>58086</v>
      </c>
      <c r="F83" s="25">
        <v>50254952.18</v>
      </c>
      <c r="G83" s="26">
        <v>6.19</v>
      </c>
      <c r="H83" s="26">
        <v>46.93</v>
      </c>
      <c r="I83" s="27">
        <v>40.93</v>
      </c>
      <c r="J83" s="27">
        <v>130.68</v>
      </c>
      <c r="K83" s="26">
        <v>54.46</v>
      </c>
      <c r="L83" t="s">
        <v>83</v>
      </c>
      <c r="M83" t="s">
        <v>98</v>
      </c>
    </row>
    <row r="84" spans="1:13" ht="15" customHeight="1" x14ac:dyDescent="0.35">
      <c r="A84">
        <v>2020</v>
      </c>
      <c r="B84" t="s">
        <v>91</v>
      </c>
      <c r="C84" t="s">
        <v>82</v>
      </c>
      <c r="D84" t="s">
        <v>80</v>
      </c>
      <c r="E84" s="24">
        <v>63974</v>
      </c>
      <c r="F84" s="25">
        <v>66783552.340000004</v>
      </c>
      <c r="G84" s="26">
        <v>4.99</v>
      </c>
      <c r="H84" s="26">
        <v>43.38</v>
      </c>
      <c r="I84" s="27">
        <v>39.44</v>
      </c>
      <c r="J84" s="27">
        <v>264.14999999999998</v>
      </c>
      <c r="K84" s="26">
        <v>79.22</v>
      </c>
      <c r="L84" t="s">
        <v>75</v>
      </c>
      <c r="M84" t="s">
        <v>98</v>
      </c>
    </row>
    <row r="85" spans="1:13" ht="15" customHeight="1" x14ac:dyDescent="0.35">
      <c r="A85">
        <v>2020</v>
      </c>
      <c r="B85" t="s">
        <v>91</v>
      </c>
      <c r="C85" t="s">
        <v>84</v>
      </c>
      <c r="D85" t="s">
        <v>80</v>
      </c>
      <c r="E85" s="24">
        <v>47829</v>
      </c>
      <c r="F85" s="25">
        <v>6077295.0499999998</v>
      </c>
      <c r="G85" s="26">
        <v>3.59</v>
      </c>
      <c r="H85" s="26">
        <v>88.79</v>
      </c>
      <c r="I85" s="27">
        <v>32.57</v>
      </c>
      <c r="J85" s="27">
        <v>175.9</v>
      </c>
      <c r="K85" s="26">
        <v>45.25</v>
      </c>
      <c r="L85" t="s">
        <v>77</v>
      </c>
      <c r="M85" t="s">
        <v>98</v>
      </c>
    </row>
    <row r="86" spans="1:13" ht="15" customHeight="1" x14ac:dyDescent="0.35">
      <c r="A86">
        <v>2020</v>
      </c>
      <c r="B86" t="s">
        <v>91</v>
      </c>
      <c r="C86" t="s">
        <v>85</v>
      </c>
      <c r="D86" t="s">
        <v>80</v>
      </c>
      <c r="E86" s="24">
        <v>41163</v>
      </c>
      <c r="F86" s="25">
        <v>19005446.109999999</v>
      </c>
      <c r="G86" s="26">
        <v>4.79</v>
      </c>
      <c r="H86" s="26">
        <v>51.77</v>
      </c>
      <c r="I86" s="27">
        <v>44.26</v>
      </c>
      <c r="J86" s="27">
        <v>210.86</v>
      </c>
      <c r="K86" s="26">
        <v>88.02</v>
      </c>
      <c r="L86" t="s">
        <v>83</v>
      </c>
      <c r="M86" t="s">
        <v>98</v>
      </c>
    </row>
    <row r="87" spans="1:13" ht="15" customHeight="1" x14ac:dyDescent="0.35">
      <c r="A87">
        <v>2020</v>
      </c>
      <c r="B87" t="s">
        <v>91</v>
      </c>
      <c r="C87" t="s">
        <v>86</v>
      </c>
      <c r="D87" t="s">
        <v>80</v>
      </c>
      <c r="E87" s="24">
        <v>27381</v>
      </c>
      <c r="F87" s="25">
        <v>65294982.829999998</v>
      </c>
      <c r="G87" s="26">
        <v>2.65</v>
      </c>
      <c r="H87" s="26">
        <v>62.02</v>
      </c>
      <c r="I87" s="27">
        <v>25.37</v>
      </c>
      <c r="J87" s="27">
        <v>130.24</v>
      </c>
      <c r="K87" s="26">
        <v>86.46</v>
      </c>
      <c r="L87" t="s">
        <v>77</v>
      </c>
      <c r="M87" t="s">
        <v>98</v>
      </c>
    </row>
    <row r="88" spans="1:13" ht="15" customHeight="1" x14ac:dyDescent="0.35">
      <c r="A88">
        <v>2020</v>
      </c>
      <c r="B88" t="s">
        <v>91</v>
      </c>
      <c r="C88" t="s">
        <v>87</v>
      </c>
      <c r="D88" t="s">
        <v>80</v>
      </c>
      <c r="E88" s="24">
        <v>61462</v>
      </c>
      <c r="F88" s="25">
        <v>55137531.490000002</v>
      </c>
      <c r="G88" s="26">
        <v>5.78</v>
      </c>
      <c r="H88" s="26">
        <v>89.44</v>
      </c>
      <c r="I88" s="27">
        <v>51.04</v>
      </c>
      <c r="J88" s="27">
        <v>280.82</v>
      </c>
      <c r="K88" s="26">
        <v>85.04</v>
      </c>
      <c r="L88" t="s">
        <v>73</v>
      </c>
      <c r="M88" t="s">
        <v>98</v>
      </c>
    </row>
    <row r="89" spans="1:13" ht="15" customHeight="1" x14ac:dyDescent="0.35">
      <c r="A89">
        <v>2020</v>
      </c>
      <c r="B89" t="s">
        <v>91</v>
      </c>
      <c r="C89" t="s">
        <v>88</v>
      </c>
      <c r="D89" t="s">
        <v>80</v>
      </c>
      <c r="E89" s="24">
        <v>10455</v>
      </c>
      <c r="F89" s="25">
        <v>27982805.100000001</v>
      </c>
      <c r="G89" s="26">
        <v>6.83</v>
      </c>
      <c r="H89" s="26">
        <v>69.099999999999994</v>
      </c>
      <c r="I89" s="27">
        <v>10.39</v>
      </c>
      <c r="J89" s="27">
        <v>105.02</v>
      </c>
      <c r="K89" s="26">
        <v>75.930000000000007</v>
      </c>
      <c r="L89" t="s">
        <v>73</v>
      </c>
      <c r="M89" t="s">
        <v>98</v>
      </c>
    </row>
    <row r="90" spans="1:13" ht="15" customHeight="1" x14ac:dyDescent="0.35">
      <c r="A90">
        <v>2020</v>
      </c>
      <c r="B90" t="s">
        <v>91</v>
      </c>
      <c r="C90" t="s">
        <v>89</v>
      </c>
      <c r="D90" t="s">
        <v>80</v>
      </c>
      <c r="E90" s="24">
        <v>53896</v>
      </c>
      <c r="F90" s="25">
        <v>47982928.729999997</v>
      </c>
      <c r="G90" s="26">
        <v>3.17</v>
      </c>
      <c r="H90" s="26">
        <v>75.16</v>
      </c>
      <c r="I90" s="27">
        <v>22.74</v>
      </c>
      <c r="J90" s="27">
        <v>92.93</v>
      </c>
      <c r="K90" s="26">
        <v>86.89</v>
      </c>
      <c r="L90" t="s">
        <v>73</v>
      </c>
      <c r="M90" t="s">
        <v>98</v>
      </c>
    </row>
    <row r="91" spans="1:13" ht="15" customHeight="1" x14ac:dyDescent="0.35">
      <c r="A91">
        <v>2020</v>
      </c>
      <c r="B91" t="s">
        <v>91</v>
      </c>
      <c r="C91" t="s">
        <v>90</v>
      </c>
      <c r="D91" t="s">
        <v>80</v>
      </c>
      <c r="E91" s="24">
        <v>47830</v>
      </c>
      <c r="F91" s="25">
        <v>79207664.340000004</v>
      </c>
      <c r="G91" s="26">
        <v>3.46</v>
      </c>
      <c r="H91" s="26">
        <v>58.97</v>
      </c>
      <c r="I91" s="27">
        <v>52.43</v>
      </c>
      <c r="J91" s="27">
        <v>236.28</v>
      </c>
      <c r="K91" s="26">
        <v>50.08</v>
      </c>
      <c r="L91" t="s">
        <v>70</v>
      </c>
      <c r="M91" t="s">
        <v>98</v>
      </c>
    </row>
    <row r="92" spans="1:13" ht="15" customHeight="1" x14ac:dyDescent="0.35">
      <c r="A92">
        <v>2020</v>
      </c>
      <c r="B92" t="s">
        <v>93</v>
      </c>
      <c r="C92" t="s">
        <v>68</v>
      </c>
      <c r="D92" t="s">
        <v>69</v>
      </c>
      <c r="E92" s="24">
        <v>27328</v>
      </c>
      <c r="F92" s="25">
        <v>31739575.949999999</v>
      </c>
      <c r="G92" s="26">
        <v>0</v>
      </c>
      <c r="H92" s="26">
        <v>68.61</v>
      </c>
      <c r="I92" s="27">
        <v>19.37</v>
      </c>
      <c r="J92" s="27">
        <v>57.25</v>
      </c>
      <c r="K92" s="26">
        <v>41.31</v>
      </c>
      <c r="L92" t="s">
        <v>75</v>
      </c>
      <c r="M92" t="s">
        <v>99</v>
      </c>
    </row>
    <row r="93" spans="1:13" ht="15" customHeight="1" x14ac:dyDescent="0.35">
      <c r="A93">
        <v>2020</v>
      </c>
      <c r="B93" t="s">
        <v>93</v>
      </c>
      <c r="C93" t="s">
        <v>72</v>
      </c>
      <c r="D93" t="s">
        <v>69</v>
      </c>
      <c r="E93" s="24">
        <v>38772</v>
      </c>
      <c r="F93" s="25">
        <v>27841226.879999999</v>
      </c>
      <c r="G93" s="26">
        <v>3.48</v>
      </c>
      <c r="H93" s="26">
        <v>60.92</v>
      </c>
      <c r="I93" s="27">
        <v>27.62</v>
      </c>
      <c r="J93" s="27">
        <v>136.07</v>
      </c>
      <c r="K93" s="26">
        <v>84.47</v>
      </c>
      <c r="L93" t="s">
        <v>83</v>
      </c>
      <c r="M93" t="s">
        <v>99</v>
      </c>
    </row>
    <row r="94" spans="1:13" ht="15" customHeight="1" x14ac:dyDescent="0.35">
      <c r="A94">
        <v>2020</v>
      </c>
      <c r="B94" t="s">
        <v>93</v>
      </c>
      <c r="C94" t="s">
        <v>74</v>
      </c>
      <c r="D94" t="s">
        <v>69</v>
      </c>
      <c r="E94" s="24">
        <v>7511</v>
      </c>
      <c r="F94" s="25">
        <v>31385211.280000001</v>
      </c>
      <c r="G94" s="26">
        <v>1.48</v>
      </c>
      <c r="H94" s="26">
        <v>60</v>
      </c>
      <c r="I94" s="27">
        <v>1.68</v>
      </c>
      <c r="J94" s="27">
        <v>52.52</v>
      </c>
      <c r="K94" s="26">
        <v>85.45</v>
      </c>
      <c r="L94" t="s">
        <v>77</v>
      </c>
      <c r="M94" t="s">
        <v>99</v>
      </c>
    </row>
    <row r="95" spans="1:13" ht="15" customHeight="1" x14ac:dyDescent="0.35">
      <c r="A95">
        <v>2020</v>
      </c>
      <c r="B95" t="s">
        <v>93</v>
      </c>
      <c r="C95" t="s">
        <v>76</v>
      </c>
      <c r="D95" t="s">
        <v>69</v>
      </c>
      <c r="E95" s="24">
        <v>16212</v>
      </c>
      <c r="F95" s="25">
        <v>59842662.149999999</v>
      </c>
      <c r="G95" s="26">
        <v>0.36</v>
      </c>
      <c r="H95" s="26">
        <v>81.98</v>
      </c>
      <c r="I95" s="27">
        <v>6.72</v>
      </c>
      <c r="J95" s="27">
        <v>59.98</v>
      </c>
      <c r="K95" s="26">
        <v>45.43</v>
      </c>
      <c r="L95" t="s">
        <v>75</v>
      </c>
      <c r="M95" t="s">
        <v>99</v>
      </c>
    </row>
    <row r="96" spans="1:13" ht="15" customHeight="1" x14ac:dyDescent="0.35">
      <c r="A96">
        <v>2020</v>
      </c>
      <c r="B96" t="s">
        <v>93</v>
      </c>
      <c r="C96" t="s">
        <v>78</v>
      </c>
      <c r="D96" t="s">
        <v>69</v>
      </c>
      <c r="E96" s="24">
        <v>44767</v>
      </c>
      <c r="F96" s="25">
        <v>6397386.2199999997</v>
      </c>
      <c r="G96" s="26">
        <v>2.66</v>
      </c>
      <c r="H96" s="26">
        <v>65.67</v>
      </c>
      <c r="I96" s="27">
        <v>24.92</v>
      </c>
      <c r="J96" s="27">
        <v>94.9</v>
      </c>
      <c r="K96" s="26">
        <v>53.63</v>
      </c>
      <c r="L96" t="s">
        <v>75</v>
      </c>
      <c r="M96" t="s">
        <v>99</v>
      </c>
    </row>
    <row r="97" spans="1:13" ht="15" customHeight="1" x14ac:dyDescent="0.35">
      <c r="A97">
        <v>2020</v>
      </c>
      <c r="B97" t="s">
        <v>93</v>
      </c>
      <c r="C97" t="s">
        <v>79</v>
      </c>
      <c r="D97" t="s">
        <v>80</v>
      </c>
      <c r="E97" s="24">
        <v>29628</v>
      </c>
      <c r="F97" s="25">
        <v>50812407.280000001</v>
      </c>
      <c r="G97" s="26">
        <v>5.1100000000000003</v>
      </c>
      <c r="H97" s="26">
        <v>88.32</v>
      </c>
      <c r="I97" s="27">
        <v>13.49</v>
      </c>
      <c r="J97" s="27">
        <v>66.69</v>
      </c>
      <c r="K97" s="26">
        <v>63.04</v>
      </c>
      <c r="L97" t="s">
        <v>70</v>
      </c>
      <c r="M97" t="s">
        <v>99</v>
      </c>
    </row>
    <row r="98" spans="1:13" ht="15" customHeight="1" x14ac:dyDescent="0.35">
      <c r="A98">
        <v>2020</v>
      </c>
      <c r="B98" t="s">
        <v>93</v>
      </c>
      <c r="C98" t="s">
        <v>81</v>
      </c>
      <c r="D98" t="s">
        <v>80</v>
      </c>
      <c r="E98" s="24">
        <v>63137</v>
      </c>
      <c r="F98" s="25">
        <v>23567297.829999998</v>
      </c>
      <c r="G98" s="26">
        <v>4.79</v>
      </c>
      <c r="H98" s="26">
        <v>66.150000000000006</v>
      </c>
      <c r="I98" s="27">
        <v>49.64</v>
      </c>
      <c r="J98" s="27">
        <v>94.47</v>
      </c>
      <c r="K98" s="26">
        <v>82.6</v>
      </c>
      <c r="L98" t="s">
        <v>77</v>
      </c>
      <c r="M98" t="s">
        <v>99</v>
      </c>
    </row>
    <row r="99" spans="1:13" ht="15" customHeight="1" x14ac:dyDescent="0.35">
      <c r="A99">
        <v>2020</v>
      </c>
      <c r="B99" t="s">
        <v>93</v>
      </c>
      <c r="C99" t="s">
        <v>82</v>
      </c>
      <c r="D99" t="s">
        <v>80</v>
      </c>
      <c r="E99" s="24">
        <v>56115</v>
      </c>
      <c r="F99" s="25">
        <v>16158944.449999999</v>
      </c>
      <c r="G99" s="26">
        <v>6.22</v>
      </c>
      <c r="H99" s="26">
        <v>91.44</v>
      </c>
      <c r="I99" s="27">
        <v>29.96</v>
      </c>
      <c r="J99" s="27">
        <v>193.54</v>
      </c>
      <c r="K99" s="26">
        <v>89.31</v>
      </c>
      <c r="L99" t="s">
        <v>83</v>
      </c>
      <c r="M99" t="s">
        <v>99</v>
      </c>
    </row>
    <row r="100" spans="1:13" ht="15" customHeight="1" x14ac:dyDescent="0.35">
      <c r="A100">
        <v>2020</v>
      </c>
      <c r="B100" t="s">
        <v>93</v>
      </c>
      <c r="C100" t="s">
        <v>84</v>
      </c>
      <c r="D100" t="s">
        <v>80</v>
      </c>
      <c r="E100" s="24">
        <v>33872</v>
      </c>
      <c r="F100" s="25">
        <v>60050676.799999997</v>
      </c>
      <c r="G100" s="26">
        <v>2.94</v>
      </c>
      <c r="H100" s="26">
        <v>88.63</v>
      </c>
      <c r="I100" s="27">
        <v>27.11</v>
      </c>
      <c r="J100" s="27">
        <v>186.09</v>
      </c>
      <c r="K100" s="26">
        <v>61.17</v>
      </c>
      <c r="L100" t="s">
        <v>75</v>
      </c>
      <c r="M100" t="s">
        <v>99</v>
      </c>
    </row>
    <row r="101" spans="1:13" ht="15" customHeight="1" x14ac:dyDescent="0.35">
      <c r="A101">
        <v>2020</v>
      </c>
      <c r="B101" t="s">
        <v>93</v>
      </c>
      <c r="C101" t="s">
        <v>85</v>
      </c>
      <c r="D101" t="s">
        <v>80</v>
      </c>
      <c r="E101" s="24">
        <v>56598</v>
      </c>
      <c r="F101" s="25">
        <v>9650777.5299999993</v>
      </c>
      <c r="G101" s="26">
        <v>6.61</v>
      </c>
      <c r="H101" s="26">
        <v>77.650000000000006</v>
      </c>
      <c r="I101" s="27">
        <v>26.15</v>
      </c>
      <c r="J101" s="27">
        <v>69.040000000000006</v>
      </c>
      <c r="K101" s="26">
        <v>88.7</v>
      </c>
      <c r="L101" t="s">
        <v>73</v>
      </c>
      <c r="M101" t="s">
        <v>99</v>
      </c>
    </row>
    <row r="102" spans="1:13" ht="15" customHeight="1" x14ac:dyDescent="0.35">
      <c r="A102">
        <v>2020</v>
      </c>
      <c r="B102" t="s">
        <v>93</v>
      </c>
      <c r="C102" t="s">
        <v>86</v>
      </c>
      <c r="D102" t="s">
        <v>80</v>
      </c>
      <c r="E102" s="24">
        <v>8082</v>
      </c>
      <c r="F102" s="25">
        <v>53518254.119999997</v>
      </c>
      <c r="G102" s="26">
        <v>3.35</v>
      </c>
      <c r="H102" s="26">
        <v>100</v>
      </c>
      <c r="I102" s="27">
        <v>49.53</v>
      </c>
      <c r="J102" s="27">
        <v>289.41000000000003</v>
      </c>
      <c r="K102" s="26">
        <v>93.02</v>
      </c>
      <c r="L102" t="s">
        <v>83</v>
      </c>
      <c r="M102" t="s">
        <v>99</v>
      </c>
    </row>
    <row r="103" spans="1:13" ht="15" customHeight="1" x14ac:dyDescent="0.35">
      <c r="A103">
        <v>2020</v>
      </c>
      <c r="B103" t="s">
        <v>93</v>
      </c>
      <c r="C103" t="s">
        <v>87</v>
      </c>
      <c r="D103" t="s">
        <v>80</v>
      </c>
      <c r="E103" s="24">
        <v>53108</v>
      </c>
      <c r="F103" s="25">
        <v>8982957.7799999993</v>
      </c>
      <c r="G103" s="26">
        <v>6.02</v>
      </c>
      <c r="H103" s="26">
        <v>47.8</v>
      </c>
      <c r="I103" s="27">
        <v>32.450000000000003</v>
      </c>
      <c r="J103" s="27">
        <v>100.39</v>
      </c>
      <c r="K103" s="26">
        <v>59.44</v>
      </c>
      <c r="L103" t="s">
        <v>73</v>
      </c>
      <c r="M103" t="s">
        <v>99</v>
      </c>
    </row>
    <row r="104" spans="1:13" ht="15" customHeight="1" x14ac:dyDescent="0.35">
      <c r="A104">
        <v>2020</v>
      </c>
      <c r="B104" t="s">
        <v>93</v>
      </c>
      <c r="C104" t="s">
        <v>88</v>
      </c>
      <c r="D104" t="s">
        <v>80</v>
      </c>
      <c r="E104" s="24">
        <v>42820</v>
      </c>
      <c r="F104" s="25">
        <v>5518854.46</v>
      </c>
      <c r="G104" s="26">
        <v>6.58</v>
      </c>
      <c r="H104" s="26">
        <v>41.01</v>
      </c>
      <c r="I104" s="27">
        <v>18.12</v>
      </c>
      <c r="J104" s="27">
        <v>169.67</v>
      </c>
      <c r="K104" s="26">
        <v>79.56</v>
      </c>
      <c r="L104" t="s">
        <v>83</v>
      </c>
      <c r="M104" t="s">
        <v>99</v>
      </c>
    </row>
    <row r="105" spans="1:13" ht="15" customHeight="1" x14ac:dyDescent="0.35">
      <c r="A105">
        <v>2020</v>
      </c>
      <c r="B105" t="s">
        <v>93</v>
      </c>
      <c r="C105" t="s">
        <v>89</v>
      </c>
      <c r="D105" t="s">
        <v>80</v>
      </c>
      <c r="E105" s="24">
        <v>55164</v>
      </c>
      <c r="F105" s="25">
        <v>9027240.9199999999</v>
      </c>
      <c r="G105" s="26">
        <v>4.7699999999999996</v>
      </c>
      <c r="H105" s="26">
        <v>48.66</v>
      </c>
      <c r="I105" s="27">
        <v>29.6</v>
      </c>
      <c r="J105" s="27">
        <v>94.48</v>
      </c>
      <c r="K105" s="26">
        <v>55.85</v>
      </c>
      <c r="L105" t="s">
        <v>83</v>
      </c>
      <c r="M105" t="s">
        <v>99</v>
      </c>
    </row>
    <row r="106" spans="1:13" ht="15" customHeight="1" x14ac:dyDescent="0.35">
      <c r="A106">
        <v>2020</v>
      </c>
      <c r="B106" t="s">
        <v>93</v>
      </c>
      <c r="C106" t="s">
        <v>90</v>
      </c>
      <c r="D106" t="s">
        <v>80</v>
      </c>
      <c r="E106" s="24">
        <v>12993</v>
      </c>
      <c r="F106" s="25">
        <v>7444019.2599999998</v>
      </c>
      <c r="G106" s="26">
        <v>3.67</v>
      </c>
      <c r="H106" s="26">
        <v>53.23</v>
      </c>
      <c r="I106" s="27">
        <v>49.96</v>
      </c>
      <c r="J106" s="27">
        <v>236.45</v>
      </c>
      <c r="K106" s="26">
        <v>87.73</v>
      </c>
      <c r="L106" t="s">
        <v>77</v>
      </c>
      <c r="M106" t="s">
        <v>99</v>
      </c>
    </row>
    <row r="107" spans="1:13" ht="15" customHeight="1" x14ac:dyDescent="0.35">
      <c r="A107">
        <v>2020</v>
      </c>
      <c r="B107" t="s">
        <v>95</v>
      </c>
      <c r="C107" t="s">
        <v>68</v>
      </c>
      <c r="D107" t="s">
        <v>69</v>
      </c>
      <c r="E107" s="24">
        <v>49522</v>
      </c>
      <c r="F107" s="25">
        <v>13749933.390000001</v>
      </c>
      <c r="G107" s="26">
        <v>0.73</v>
      </c>
      <c r="H107" s="26">
        <v>68.38</v>
      </c>
      <c r="I107" s="27">
        <v>46.89</v>
      </c>
      <c r="J107" s="27">
        <v>221.54</v>
      </c>
      <c r="K107" s="26">
        <v>67.28</v>
      </c>
      <c r="L107" t="s">
        <v>77</v>
      </c>
      <c r="M107" t="s">
        <v>100</v>
      </c>
    </row>
    <row r="108" spans="1:13" ht="15" customHeight="1" x14ac:dyDescent="0.35">
      <c r="A108">
        <v>2020</v>
      </c>
      <c r="B108" t="s">
        <v>95</v>
      </c>
      <c r="C108" t="s">
        <v>72</v>
      </c>
      <c r="D108" t="s">
        <v>69</v>
      </c>
      <c r="E108" s="24">
        <v>35672</v>
      </c>
      <c r="F108" s="25">
        <v>43822054.960000001</v>
      </c>
      <c r="G108" s="26">
        <v>0.84</v>
      </c>
      <c r="H108" s="26">
        <v>44.22</v>
      </c>
      <c r="I108" s="27">
        <v>46.9</v>
      </c>
      <c r="J108" s="27">
        <v>285.05</v>
      </c>
      <c r="K108" s="26">
        <v>50.09</v>
      </c>
      <c r="L108" t="s">
        <v>70</v>
      </c>
      <c r="M108" t="s">
        <v>100</v>
      </c>
    </row>
    <row r="109" spans="1:13" ht="15" customHeight="1" x14ac:dyDescent="0.35">
      <c r="A109">
        <v>2020</v>
      </c>
      <c r="B109" t="s">
        <v>95</v>
      </c>
      <c r="C109" t="s">
        <v>74</v>
      </c>
      <c r="D109" t="s">
        <v>69</v>
      </c>
      <c r="E109" s="24">
        <v>23896</v>
      </c>
      <c r="F109" s="25">
        <v>18747121.280000001</v>
      </c>
      <c r="G109" s="26">
        <v>0</v>
      </c>
      <c r="H109" s="26">
        <v>32.090000000000003</v>
      </c>
      <c r="I109" s="27">
        <v>10.83</v>
      </c>
      <c r="J109" s="27">
        <v>225.49</v>
      </c>
      <c r="K109" s="26">
        <v>56.78</v>
      </c>
      <c r="L109" t="s">
        <v>75</v>
      </c>
      <c r="M109" t="s">
        <v>100</v>
      </c>
    </row>
    <row r="110" spans="1:13" ht="15" customHeight="1" x14ac:dyDescent="0.35">
      <c r="A110">
        <v>2020</v>
      </c>
      <c r="B110" t="s">
        <v>95</v>
      </c>
      <c r="C110" t="s">
        <v>76</v>
      </c>
      <c r="D110" t="s">
        <v>69</v>
      </c>
      <c r="E110" s="24">
        <v>7473</v>
      </c>
      <c r="F110" s="25">
        <v>19621770.609999999</v>
      </c>
      <c r="G110" s="26">
        <v>3.88</v>
      </c>
      <c r="H110" s="26">
        <v>74.66</v>
      </c>
      <c r="I110" s="27">
        <v>27.55</v>
      </c>
      <c r="J110" s="27">
        <v>177.22</v>
      </c>
      <c r="K110" s="26">
        <v>72.36</v>
      </c>
      <c r="L110" t="s">
        <v>77</v>
      </c>
      <c r="M110" t="s">
        <v>100</v>
      </c>
    </row>
    <row r="111" spans="1:13" ht="15" customHeight="1" x14ac:dyDescent="0.35">
      <c r="A111">
        <v>2020</v>
      </c>
      <c r="B111" t="s">
        <v>95</v>
      </c>
      <c r="C111" t="s">
        <v>78</v>
      </c>
      <c r="D111" t="s">
        <v>69</v>
      </c>
      <c r="E111" s="24">
        <v>11913</v>
      </c>
      <c r="F111" s="25">
        <v>41627181.200000003</v>
      </c>
      <c r="G111" s="26">
        <v>0</v>
      </c>
      <c r="H111" s="26">
        <v>64.459999999999994</v>
      </c>
      <c r="I111" s="27">
        <v>0.84</v>
      </c>
      <c r="J111" s="27">
        <v>155.16</v>
      </c>
      <c r="K111" s="26">
        <v>44.89</v>
      </c>
      <c r="L111" t="s">
        <v>73</v>
      </c>
      <c r="M111" t="s">
        <v>100</v>
      </c>
    </row>
    <row r="112" spans="1:13" ht="15" customHeight="1" x14ac:dyDescent="0.35">
      <c r="A112">
        <v>2020</v>
      </c>
      <c r="B112" t="s">
        <v>95</v>
      </c>
      <c r="C112" t="s">
        <v>79</v>
      </c>
      <c r="D112" t="s">
        <v>80</v>
      </c>
      <c r="E112" s="24">
        <v>39692</v>
      </c>
      <c r="F112" s="25">
        <v>34859771.57</v>
      </c>
      <c r="G112" s="26">
        <v>6.62</v>
      </c>
      <c r="H112" s="26">
        <v>87.81</v>
      </c>
      <c r="I112" s="27">
        <v>39.64</v>
      </c>
      <c r="J112" s="27">
        <v>189.6</v>
      </c>
      <c r="K112" s="26">
        <v>62.18</v>
      </c>
      <c r="L112" t="s">
        <v>70</v>
      </c>
      <c r="M112" t="s">
        <v>100</v>
      </c>
    </row>
    <row r="113" spans="1:13" ht="15" customHeight="1" x14ac:dyDescent="0.35">
      <c r="A113">
        <v>2020</v>
      </c>
      <c r="B113" t="s">
        <v>95</v>
      </c>
      <c r="C113" t="s">
        <v>81</v>
      </c>
      <c r="D113" t="s">
        <v>80</v>
      </c>
      <c r="E113" s="24">
        <v>48805</v>
      </c>
      <c r="F113" s="25">
        <v>32349455.399999999</v>
      </c>
      <c r="G113" s="26">
        <v>4.42</v>
      </c>
      <c r="H113" s="26">
        <v>99.33</v>
      </c>
      <c r="I113" s="27">
        <v>33.79</v>
      </c>
      <c r="J113" s="27">
        <v>96.26</v>
      </c>
      <c r="K113" s="26">
        <v>57.17</v>
      </c>
      <c r="L113" t="s">
        <v>77</v>
      </c>
      <c r="M113" t="s">
        <v>100</v>
      </c>
    </row>
    <row r="114" spans="1:13" ht="15" customHeight="1" x14ac:dyDescent="0.35">
      <c r="A114">
        <v>2020</v>
      </c>
      <c r="B114" t="s">
        <v>95</v>
      </c>
      <c r="C114" t="s">
        <v>82</v>
      </c>
      <c r="D114" t="s">
        <v>80</v>
      </c>
      <c r="E114" s="24">
        <v>8115</v>
      </c>
      <c r="F114" s="25">
        <v>44826833.530000001</v>
      </c>
      <c r="G114" s="26">
        <v>4.6500000000000004</v>
      </c>
      <c r="H114" s="26">
        <v>62.42</v>
      </c>
      <c r="I114" s="27">
        <v>41.52</v>
      </c>
      <c r="J114" s="27">
        <v>295.85000000000002</v>
      </c>
      <c r="K114" s="26">
        <v>48.71</v>
      </c>
      <c r="L114" t="s">
        <v>70</v>
      </c>
      <c r="M114" t="s">
        <v>100</v>
      </c>
    </row>
    <row r="115" spans="1:13" ht="15" customHeight="1" x14ac:dyDescent="0.35">
      <c r="A115">
        <v>2020</v>
      </c>
      <c r="B115" t="s">
        <v>95</v>
      </c>
      <c r="C115" t="s">
        <v>84</v>
      </c>
      <c r="D115" t="s">
        <v>80</v>
      </c>
      <c r="E115" s="24">
        <v>52951</v>
      </c>
      <c r="F115" s="25">
        <v>13524137.65</v>
      </c>
      <c r="G115" s="26">
        <v>2.83</v>
      </c>
      <c r="H115" s="26">
        <v>73.069999999999993</v>
      </c>
      <c r="I115" s="27">
        <v>27.79</v>
      </c>
      <c r="J115" s="27">
        <v>52.85</v>
      </c>
      <c r="K115" s="26">
        <v>70.84</v>
      </c>
      <c r="L115" t="s">
        <v>83</v>
      </c>
      <c r="M115" t="s">
        <v>100</v>
      </c>
    </row>
    <row r="116" spans="1:13" ht="15" customHeight="1" x14ac:dyDescent="0.35">
      <c r="A116">
        <v>2020</v>
      </c>
      <c r="B116" t="s">
        <v>95</v>
      </c>
      <c r="C116" t="s">
        <v>85</v>
      </c>
      <c r="D116" t="s">
        <v>80</v>
      </c>
      <c r="E116" s="24">
        <v>40353</v>
      </c>
      <c r="F116" s="25">
        <v>16476389.24</v>
      </c>
      <c r="G116" s="26">
        <v>3.06</v>
      </c>
      <c r="H116" s="26">
        <v>46.41</v>
      </c>
      <c r="I116" s="27">
        <v>21.11</v>
      </c>
      <c r="J116" s="27">
        <v>194.98</v>
      </c>
      <c r="K116" s="26">
        <v>54.61</v>
      </c>
      <c r="L116" t="s">
        <v>75</v>
      </c>
      <c r="M116" t="s">
        <v>100</v>
      </c>
    </row>
    <row r="117" spans="1:13" ht="15" customHeight="1" x14ac:dyDescent="0.35">
      <c r="A117">
        <v>2020</v>
      </c>
      <c r="B117" t="s">
        <v>95</v>
      </c>
      <c r="C117" t="s">
        <v>86</v>
      </c>
      <c r="D117" t="s">
        <v>80</v>
      </c>
      <c r="E117" s="24">
        <v>26015</v>
      </c>
      <c r="F117" s="25">
        <v>13548942.439999999</v>
      </c>
      <c r="G117" s="26">
        <v>5.19</v>
      </c>
      <c r="H117" s="26">
        <v>92.87</v>
      </c>
      <c r="I117" s="27">
        <v>45.67</v>
      </c>
      <c r="J117" s="27">
        <v>248.52</v>
      </c>
      <c r="K117" s="26">
        <v>85.87</v>
      </c>
      <c r="L117" t="s">
        <v>77</v>
      </c>
      <c r="M117" t="s">
        <v>100</v>
      </c>
    </row>
    <row r="118" spans="1:13" ht="15" customHeight="1" x14ac:dyDescent="0.35">
      <c r="A118">
        <v>2020</v>
      </c>
      <c r="B118" t="s">
        <v>95</v>
      </c>
      <c r="C118" t="s">
        <v>87</v>
      </c>
      <c r="D118" t="s">
        <v>80</v>
      </c>
      <c r="E118" s="24">
        <v>11163</v>
      </c>
      <c r="F118" s="25">
        <v>12032304.640000001</v>
      </c>
      <c r="G118" s="26">
        <v>3.84</v>
      </c>
      <c r="H118" s="26">
        <v>40.71</v>
      </c>
      <c r="I118" s="27">
        <v>45.09</v>
      </c>
      <c r="J118" s="27">
        <v>122.22</v>
      </c>
      <c r="K118" s="26">
        <v>83.63</v>
      </c>
      <c r="L118" t="s">
        <v>77</v>
      </c>
      <c r="M118" t="s">
        <v>100</v>
      </c>
    </row>
    <row r="119" spans="1:13" ht="15" customHeight="1" x14ac:dyDescent="0.35">
      <c r="A119">
        <v>2020</v>
      </c>
      <c r="B119" t="s">
        <v>95</v>
      </c>
      <c r="C119" t="s">
        <v>88</v>
      </c>
      <c r="D119" t="s">
        <v>80</v>
      </c>
      <c r="E119" s="24">
        <v>36975</v>
      </c>
      <c r="F119" s="25">
        <v>33358884.739999998</v>
      </c>
      <c r="G119" s="26">
        <v>5.36</v>
      </c>
      <c r="H119" s="26">
        <v>74.28</v>
      </c>
      <c r="I119" s="27">
        <v>33.57</v>
      </c>
      <c r="J119" s="27">
        <v>72.540000000000006</v>
      </c>
      <c r="K119" s="26">
        <v>57.77</v>
      </c>
      <c r="L119" t="s">
        <v>77</v>
      </c>
      <c r="M119" t="s">
        <v>100</v>
      </c>
    </row>
    <row r="120" spans="1:13" ht="15" customHeight="1" x14ac:dyDescent="0.35">
      <c r="A120">
        <v>2020</v>
      </c>
      <c r="B120" t="s">
        <v>95</v>
      </c>
      <c r="C120" t="s">
        <v>89</v>
      </c>
      <c r="D120" t="s">
        <v>80</v>
      </c>
      <c r="E120" s="24">
        <v>28163</v>
      </c>
      <c r="F120" s="25">
        <v>76740547.760000005</v>
      </c>
      <c r="G120" s="26">
        <v>6.5</v>
      </c>
      <c r="H120" s="26">
        <v>49.19</v>
      </c>
      <c r="I120" s="27">
        <v>23.05</v>
      </c>
      <c r="J120" s="27">
        <v>154.41999999999999</v>
      </c>
      <c r="K120" s="26">
        <v>78.77</v>
      </c>
      <c r="L120" t="s">
        <v>73</v>
      </c>
      <c r="M120" t="s">
        <v>100</v>
      </c>
    </row>
    <row r="121" spans="1:13" ht="15" customHeight="1" x14ac:dyDescent="0.35">
      <c r="A121">
        <v>2020</v>
      </c>
      <c r="B121" t="s">
        <v>95</v>
      </c>
      <c r="C121" t="s">
        <v>90</v>
      </c>
      <c r="D121" t="s">
        <v>80</v>
      </c>
      <c r="E121" s="24">
        <v>49246</v>
      </c>
      <c r="F121" s="25">
        <v>5030391.84</v>
      </c>
      <c r="G121" s="26">
        <v>6.07</v>
      </c>
      <c r="H121" s="26">
        <v>51.07</v>
      </c>
      <c r="I121" s="27">
        <v>47.75</v>
      </c>
      <c r="J121" s="27">
        <v>137.41999999999999</v>
      </c>
      <c r="K121" s="26">
        <v>71.5</v>
      </c>
      <c r="L121" t="s">
        <v>75</v>
      </c>
      <c r="M121" t="s">
        <v>100</v>
      </c>
    </row>
    <row r="122" spans="1:13" ht="15" customHeight="1" x14ac:dyDescent="0.35">
      <c r="A122">
        <v>2021</v>
      </c>
      <c r="B122" t="s">
        <v>67</v>
      </c>
      <c r="C122" t="s">
        <v>68</v>
      </c>
      <c r="D122" t="s">
        <v>69</v>
      </c>
      <c r="E122" s="24">
        <v>44456</v>
      </c>
      <c r="F122" s="25">
        <v>14331275.99</v>
      </c>
      <c r="G122" s="26">
        <v>0.65</v>
      </c>
      <c r="H122" s="26">
        <v>61.11</v>
      </c>
      <c r="I122" s="27">
        <v>40.369999999999997</v>
      </c>
      <c r="J122" s="27">
        <v>129.5</v>
      </c>
      <c r="K122" s="26">
        <v>66.930000000000007</v>
      </c>
      <c r="L122" t="s">
        <v>77</v>
      </c>
      <c r="M122" t="s">
        <v>101</v>
      </c>
    </row>
    <row r="123" spans="1:13" ht="15" customHeight="1" x14ac:dyDescent="0.35">
      <c r="A123">
        <v>2021</v>
      </c>
      <c r="B123" t="s">
        <v>67</v>
      </c>
      <c r="C123" t="s">
        <v>72</v>
      </c>
      <c r="D123" t="s">
        <v>69</v>
      </c>
      <c r="E123" s="24">
        <v>6548</v>
      </c>
      <c r="F123" s="25">
        <v>54168172.520000003</v>
      </c>
      <c r="G123" s="26">
        <v>2.64</v>
      </c>
      <c r="H123" s="26">
        <v>63.01</v>
      </c>
      <c r="I123" s="27">
        <v>17.850000000000001</v>
      </c>
      <c r="J123" s="27">
        <v>279.58</v>
      </c>
      <c r="K123" s="26">
        <v>73.97</v>
      </c>
      <c r="L123" t="s">
        <v>83</v>
      </c>
      <c r="M123" t="s">
        <v>101</v>
      </c>
    </row>
    <row r="124" spans="1:13" ht="15" customHeight="1" x14ac:dyDescent="0.35">
      <c r="A124">
        <v>2021</v>
      </c>
      <c r="B124" t="s">
        <v>67</v>
      </c>
      <c r="C124" t="s">
        <v>74</v>
      </c>
      <c r="D124" t="s">
        <v>69</v>
      </c>
      <c r="E124" s="24">
        <v>36129</v>
      </c>
      <c r="F124" s="25">
        <v>28657040.440000001</v>
      </c>
      <c r="G124" s="26">
        <v>0.49</v>
      </c>
      <c r="H124" s="26">
        <v>60.6</v>
      </c>
      <c r="I124" s="27">
        <v>1.57</v>
      </c>
      <c r="J124" s="27">
        <v>209.38</v>
      </c>
      <c r="K124" s="26">
        <v>62.41</v>
      </c>
      <c r="L124" t="s">
        <v>75</v>
      </c>
      <c r="M124" t="s">
        <v>101</v>
      </c>
    </row>
    <row r="125" spans="1:13" ht="15" customHeight="1" x14ac:dyDescent="0.35">
      <c r="A125">
        <v>2021</v>
      </c>
      <c r="B125" t="s">
        <v>67</v>
      </c>
      <c r="C125" t="s">
        <v>76</v>
      </c>
      <c r="D125" t="s">
        <v>69</v>
      </c>
      <c r="E125" s="24">
        <v>36476</v>
      </c>
      <c r="F125" s="25">
        <v>9769649.4399999995</v>
      </c>
      <c r="G125" s="26">
        <v>0.4</v>
      </c>
      <c r="H125" s="26">
        <v>67.05</v>
      </c>
      <c r="I125" s="27">
        <v>29.96</v>
      </c>
      <c r="J125" s="27">
        <v>138.12</v>
      </c>
      <c r="K125" s="26">
        <v>52.54</v>
      </c>
      <c r="L125" t="s">
        <v>83</v>
      </c>
      <c r="M125" t="s">
        <v>101</v>
      </c>
    </row>
    <row r="126" spans="1:13" ht="15" customHeight="1" x14ac:dyDescent="0.35">
      <c r="A126">
        <v>2021</v>
      </c>
      <c r="B126" t="s">
        <v>67</v>
      </c>
      <c r="C126" t="s">
        <v>78</v>
      </c>
      <c r="D126" t="s">
        <v>69</v>
      </c>
      <c r="E126" s="24">
        <v>34090</v>
      </c>
      <c r="F126" s="25">
        <v>7777936.3700000001</v>
      </c>
      <c r="G126" s="26">
        <v>3.54</v>
      </c>
      <c r="H126" s="26">
        <v>71.27</v>
      </c>
      <c r="I126" s="27">
        <v>41.68</v>
      </c>
      <c r="J126" s="27">
        <v>171.59</v>
      </c>
      <c r="K126" s="26">
        <v>50.17</v>
      </c>
      <c r="L126" t="s">
        <v>75</v>
      </c>
      <c r="M126" t="s">
        <v>101</v>
      </c>
    </row>
    <row r="127" spans="1:13" ht="15" customHeight="1" x14ac:dyDescent="0.35">
      <c r="A127">
        <v>2021</v>
      </c>
      <c r="B127" t="s">
        <v>67</v>
      </c>
      <c r="C127" t="s">
        <v>79</v>
      </c>
      <c r="D127" t="s">
        <v>80</v>
      </c>
      <c r="E127" s="24">
        <v>30278</v>
      </c>
      <c r="F127" s="25">
        <v>12377641.48</v>
      </c>
      <c r="G127" s="26">
        <v>3.86</v>
      </c>
      <c r="H127" s="26">
        <v>40.51</v>
      </c>
      <c r="I127" s="27">
        <v>51.79</v>
      </c>
      <c r="J127" s="27">
        <v>184.8</v>
      </c>
      <c r="K127" s="26">
        <v>61.75</v>
      </c>
      <c r="L127" t="s">
        <v>75</v>
      </c>
      <c r="M127" t="s">
        <v>101</v>
      </c>
    </row>
    <row r="128" spans="1:13" ht="15" customHeight="1" x14ac:dyDescent="0.35">
      <c r="A128">
        <v>2021</v>
      </c>
      <c r="B128" t="s">
        <v>67</v>
      </c>
      <c r="C128" t="s">
        <v>81</v>
      </c>
      <c r="D128" t="s">
        <v>80</v>
      </c>
      <c r="E128" s="24">
        <v>57898</v>
      </c>
      <c r="F128" s="25">
        <v>19848318.309999999</v>
      </c>
      <c r="G128" s="26">
        <v>4.43</v>
      </c>
      <c r="H128" s="26">
        <v>45.27</v>
      </c>
      <c r="I128" s="27">
        <v>23.12</v>
      </c>
      <c r="J128" s="27">
        <v>277.64999999999998</v>
      </c>
      <c r="K128" s="26">
        <v>55.07</v>
      </c>
      <c r="L128" t="s">
        <v>73</v>
      </c>
      <c r="M128" t="s">
        <v>101</v>
      </c>
    </row>
    <row r="129" spans="1:13" ht="15" customHeight="1" x14ac:dyDescent="0.35">
      <c r="A129">
        <v>2021</v>
      </c>
      <c r="B129" t="s">
        <v>67</v>
      </c>
      <c r="C129" t="s">
        <v>82</v>
      </c>
      <c r="D129" t="s">
        <v>80</v>
      </c>
      <c r="E129" s="24">
        <v>44847</v>
      </c>
      <c r="F129" s="25">
        <v>14310727.310000001</v>
      </c>
      <c r="G129" s="26">
        <v>5.07</v>
      </c>
      <c r="H129" s="26">
        <v>66.56</v>
      </c>
      <c r="I129" s="27">
        <v>16.829999999999998</v>
      </c>
      <c r="J129" s="27">
        <v>97.53</v>
      </c>
      <c r="K129" s="26">
        <v>53.5</v>
      </c>
      <c r="L129" t="s">
        <v>83</v>
      </c>
      <c r="M129" t="s">
        <v>101</v>
      </c>
    </row>
    <row r="130" spans="1:13" ht="15" customHeight="1" x14ac:dyDescent="0.35">
      <c r="A130">
        <v>2021</v>
      </c>
      <c r="B130" t="s">
        <v>67</v>
      </c>
      <c r="C130" t="s">
        <v>84</v>
      </c>
      <c r="D130" t="s">
        <v>80</v>
      </c>
      <c r="E130" s="24">
        <v>6557</v>
      </c>
      <c r="F130" s="25">
        <v>41433407.509999998</v>
      </c>
      <c r="G130" s="26">
        <v>2.69</v>
      </c>
      <c r="H130" s="26">
        <v>94.68</v>
      </c>
      <c r="I130" s="27">
        <v>54.35</v>
      </c>
      <c r="J130" s="27">
        <v>127.45</v>
      </c>
      <c r="K130" s="26">
        <v>85.11</v>
      </c>
      <c r="L130" t="s">
        <v>70</v>
      </c>
      <c r="M130" t="s">
        <v>101</v>
      </c>
    </row>
    <row r="131" spans="1:13" ht="15" customHeight="1" x14ac:dyDescent="0.35">
      <c r="A131">
        <v>2021</v>
      </c>
      <c r="B131" t="s">
        <v>67</v>
      </c>
      <c r="C131" t="s">
        <v>85</v>
      </c>
      <c r="D131" t="s">
        <v>80</v>
      </c>
      <c r="E131" s="24">
        <v>58334</v>
      </c>
      <c r="F131" s="25">
        <v>67042799.399999999</v>
      </c>
      <c r="G131" s="26">
        <v>6.02</v>
      </c>
      <c r="H131" s="26">
        <v>90.08</v>
      </c>
      <c r="I131" s="27">
        <v>10.35</v>
      </c>
      <c r="J131" s="27">
        <v>102.66</v>
      </c>
      <c r="K131" s="26">
        <v>60.11</v>
      </c>
      <c r="L131" t="s">
        <v>83</v>
      </c>
      <c r="M131" t="s">
        <v>101</v>
      </c>
    </row>
    <row r="132" spans="1:13" ht="15" customHeight="1" x14ac:dyDescent="0.35">
      <c r="A132">
        <v>2021</v>
      </c>
      <c r="B132" t="s">
        <v>67</v>
      </c>
      <c r="C132" t="s">
        <v>86</v>
      </c>
      <c r="D132" t="s">
        <v>80</v>
      </c>
      <c r="E132" s="24">
        <v>42025</v>
      </c>
      <c r="F132" s="25">
        <v>46339655.030000001</v>
      </c>
      <c r="G132" s="26">
        <v>4.66</v>
      </c>
      <c r="H132" s="26">
        <v>82.85</v>
      </c>
      <c r="I132" s="27">
        <v>36.11</v>
      </c>
      <c r="J132" s="27">
        <v>176.96</v>
      </c>
      <c r="K132" s="26">
        <v>71.11</v>
      </c>
      <c r="L132" t="s">
        <v>77</v>
      </c>
      <c r="M132" t="s">
        <v>101</v>
      </c>
    </row>
    <row r="133" spans="1:13" ht="15" customHeight="1" x14ac:dyDescent="0.35">
      <c r="A133">
        <v>2021</v>
      </c>
      <c r="B133" t="s">
        <v>67</v>
      </c>
      <c r="C133" t="s">
        <v>87</v>
      </c>
      <c r="D133" t="s">
        <v>80</v>
      </c>
      <c r="E133" s="24">
        <v>8612</v>
      </c>
      <c r="F133" s="25">
        <v>30287874.850000001</v>
      </c>
      <c r="G133" s="26">
        <v>3.62</v>
      </c>
      <c r="H133" s="26">
        <v>54.88</v>
      </c>
      <c r="I133" s="27">
        <v>52.25</v>
      </c>
      <c r="J133" s="27">
        <v>288.87</v>
      </c>
      <c r="K133" s="26">
        <v>72.55</v>
      </c>
      <c r="L133" t="s">
        <v>70</v>
      </c>
      <c r="M133" t="s">
        <v>101</v>
      </c>
    </row>
    <row r="134" spans="1:13" ht="15" customHeight="1" x14ac:dyDescent="0.35">
      <c r="A134">
        <v>2021</v>
      </c>
      <c r="B134" t="s">
        <v>67</v>
      </c>
      <c r="C134" t="s">
        <v>88</v>
      </c>
      <c r="D134" t="s">
        <v>80</v>
      </c>
      <c r="E134" s="24">
        <v>33689</v>
      </c>
      <c r="F134" s="25">
        <v>37582037.579999998</v>
      </c>
      <c r="G134" s="26">
        <v>6.06</v>
      </c>
      <c r="H134" s="26">
        <v>97.44</v>
      </c>
      <c r="I134" s="27">
        <v>25.59</v>
      </c>
      <c r="J134" s="27">
        <v>133.77000000000001</v>
      </c>
      <c r="K134" s="26">
        <v>92.93</v>
      </c>
      <c r="L134" t="s">
        <v>83</v>
      </c>
      <c r="M134" t="s">
        <v>101</v>
      </c>
    </row>
    <row r="135" spans="1:13" ht="15" customHeight="1" x14ac:dyDescent="0.35">
      <c r="A135">
        <v>2021</v>
      </c>
      <c r="B135" t="s">
        <v>67</v>
      </c>
      <c r="C135" t="s">
        <v>89</v>
      </c>
      <c r="D135" t="s">
        <v>80</v>
      </c>
      <c r="E135" s="24">
        <v>60093</v>
      </c>
      <c r="F135" s="25">
        <v>79592293.159999996</v>
      </c>
      <c r="G135" s="26">
        <v>3.24</v>
      </c>
      <c r="H135" s="26">
        <v>68.56</v>
      </c>
      <c r="I135" s="27">
        <v>48.17</v>
      </c>
      <c r="J135" s="27">
        <v>130.83000000000001</v>
      </c>
      <c r="K135" s="26">
        <v>75.69</v>
      </c>
      <c r="L135" t="s">
        <v>73</v>
      </c>
      <c r="M135" t="s">
        <v>101</v>
      </c>
    </row>
    <row r="136" spans="1:13" ht="15" customHeight="1" x14ac:dyDescent="0.35">
      <c r="A136">
        <v>2021</v>
      </c>
      <c r="B136" t="s">
        <v>67</v>
      </c>
      <c r="C136" t="s">
        <v>90</v>
      </c>
      <c r="D136" t="s">
        <v>80</v>
      </c>
      <c r="E136" s="24">
        <v>50612</v>
      </c>
      <c r="F136" s="25">
        <v>24547804.329999998</v>
      </c>
      <c r="G136" s="26">
        <v>4.38</v>
      </c>
      <c r="H136" s="26">
        <v>76.13</v>
      </c>
      <c r="I136" s="27">
        <v>16.43</v>
      </c>
      <c r="J136" s="27">
        <v>58.21</v>
      </c>
      <c r="K136" s="26">
        <v>60.85</v>
      </c>
      <c r="L136" t="s">
        <v>70</v>
      </c>
      <c r="M136" t="s">
        <v>101</v>
      </c>
    </row>
    <row r="137" spans="1:13" ht="15" customHeight="1" x14ac:dyDescent="0.35">
      <c r="A137">
        <v>2021</v>
      </c>
      <c r="B137" t="s">
        <v>91</v>
      </c>
      <c r="C137" t="s">
        <v>68</v>
      </c>
      <c r="D137" t="s">
        <v>69</v>
      </c>
      <c r="E137" s="24">
        <v>33392</v>
      </c>
      <c r="F137" s="25">
        <v>40200175.950000003</v>
      </c>
      <c r="G137" s="26">
        <v>0</v>
      </c>
      <c r="H137" s="26">
        <v>69.319999999999993</v>
      </c>
      <c r="I137" s="27">
        <v>24.76</v>
      </c>
      <c r="J137" s="27">
        <v>255.14</v>
      </c>
      <c r="K137" s="26">
        <v>39.33</v>
      </c>
      <c r="L137" t="s">
        <v>77</v>
      </c>
      <c r="M137" t="s">
        <v>102</v>
      </c>
    </row>
    <row r="138" spans="1:13" ht="15" customHeight="1" x14ac:dyDescent="0.35">
      <c r="A138">
        <v>2021</v>
      </c>
      <c r="B138" t="s">
        <v>91</v>
      </c>
      <c r="C138" t="s">
        <v>72</v>
      </c>
      <c r="D138" t="s">
        <v>69</v>
      </c>
      <c r="E138" s="24">
        <v>20351</v>
      </c>
      <c r="F138" s="25">
        <v>10720475.02</v>
      </c>
      <c r="G138" s="26">
        <v>3.45</v>
      </c>
      <c r="H138" s="26">
        <v>77.709999999999994</v>
      </c>
      <c r="I138" s="27">
        <v>3.3</v>
      </c>
      <c r="J138" s="27">
        <v>285.13</v>
      </c>
      <c r="K138" s="26">
        <v>73.56</v>
      </c>
      <c r="L138" t="s">
        <v>77</v>
      </c>
      <c r="M138" t="s">
        <v>102</v>
      </c>
    </row>
    <row r="139" spans="1:13" ht="15" customHeight="1" x14ac:dyDescent="0.35">
      <c r="A139">
        <v>2021</v>
      </c>
      <c r="B139" t="s">
        <v>91</v>
      </c>
      <c r="C139" t="s">
        <v>74</v>
      </c>
      <c r="D139" t="s">
        <v>69</v>
      </c>
      <c r="E139" s="24">
        <v>9689</v>
      </c>
      <c r="F139" s="25">
        <v>18237818.16</v>
      </c>
      <c r="G139" s="26">
        <v>0</v>
      </c>
      <c r="H139" s="26">
        <v>45.74</v>
      </c>
      <c r="I139" s="27">
        <v>39.58</v>
      </c>
      <c r="J139" s="27">
        <v>291.06</v>
      </c>
      <c r="K139" s="26">
        <v>65.819999999999993</v>
      </c>
      <c r="L139" t="s">
        <v>77</v>
      </c>
      <c r="M139" t="s">
        <v>102</v>
      </c>
    </row>
    <row r="140" spans="1:13" ht="15" customHeight="1" x14ac:dyDescent="0.35">
      <c r="A140">
        <v>2021</v>
      </c>
      <c r="B140" t="s">
        <v>91</v>
      </c>
      <c r="C140" t="s">
        <v>76</v>
      </c>
      <c r="D140" t="s">
        <v>69</v>
      </c>
      <c r="E140" s="24">
        <v>19360</v>
      </c>
      <c r="F140" s="25">
        <v>21067765.940000001</v>
      </c>
      <c r="G140" s="26">
        <v>0.71</v>
      </c>
      <c r="H140" s="26">
        <v>72.25</v>
      </c>
      <c r="I140" s="27">
        <v>24.64</v>
      </c>
      <c r="J140" s="27">
        <v>119.68</v>
      </c>
      <c r="K140" s="26">
        <v>71.099999999999994</v>
      </c>
      <c r="L140" t="s">
        <v>73</v>
      </c>
      <c r="M140" t="s">
        <v>102</v>
      </c>
    </row>
    <row r="141" spans="1:13" ht="15" customHeight="1" x14ac:dyDescent="0.35">
      <c r="A141">
        <v>2021</v>
      </c>
      <c r="B141" t="s">
        <v>91</v>
      </c>
      <c r="C141" t="s">
        <v>78</v>
      </c>
      <c r="D141" t="s">
        <v>69</v>
      </c>
      <c r="E141" s="24">
        <v>41937</v>
      </c>
      <c r="F141" s="25">
        <v>10442280.66</v>
      </c>
      <c r="G141" s="26">
        <v>0</v>
      </c>
      <c r="H141" s="26">
        <v>67</v>
      </c>
      <c r="I141" s="27">
        <v>23.33</v>
      </c>
      <c r="J141" s="27">
        <v>106.63</v>
      </c>
      <c r="K141" s="26">
        <v>42.6</v>
      </c>
      <c r="L141" t="s">
        <v>70</v>
      </c>
      <c r="M141" t="s">
        <v>102</v>
      </c>
    </row>
    <row r="142" spans="1:13" ht="15" customHeight="1" x14ac:dyDescent="0.35">
      <c r="A142">
        <v>2021</v>
      </c>
      <c r="B142" t="s">
        <v>91</v>
      </c>
      <c r="C142" t="s">
        <v>79</v>
      </c>
      <c r="D142" t="s">
        <v>80</v>
      </c>
      <c r="E142" s="24">
        <v>26634</v>
      </c>
      <c r="F142" s="25">
        <v>17977115.149999999</v>
      </c>
      <c r="G142" s="26">
        <v>2.97</v>
      </c>
      <c r="H142" s="26">
        <v>45.93</v>
      </c>
      <c r="I142" s="27">
        <v>52.08</v>
      </c>
      <c r="J142" s="27">
        <v>238.86</v>
      </c>
      <c r="K142" s="26">
        <v>74.08</v>
      </c>
      <c r="L142" t="s">
        <v>75</v>
      </c>
      <c r="M142" t="s">
        <v>102</v>
      </c>
    </row>
    <row r="143" spans="1:13" ht="15" customHeight="1" x14ac:dyDescent="0.35">
      <c r="A143">
        <v>2021</v>
      </c>
      <c r="B143" t="s">
        <v>91</v>
      </c>
      <c r="C143" t="s">
        <v>81</v>
      </c>
      <c r="D143" t="s">
        <v>80</v>
      </c>
      <c r="E143" s="24">
        <v>36653</v>
      </c>
      <c r="F143" s="25">
        <v>38555751.189999998</v>
      </c>
      <c r="G143" s="26">
        <v>4.34</v>
      </c>
      <c r="H143" s="26">
        <v>88.65</v>
      </c>
      <c r="I143" s="27">
        <v>27.12</v>
      </c>
      <c r="J143" s="27">
        <v>280.3</v>
      </c>
      <c r="K143" s="26">
        <v>66</v>
      </c>
      <c r="L143" t="s">
        <v>75</v>
      </c>
      <c r="M143" t="s">
        <v>102</v>
      </c>
    </row>
    <row r="144" spans="1:13" ht="15" customHeight="1" x14ac:dyDescent="0.35">
      <c r="A144">
        <v>2021</v>
      </c>
      <c r="B144" t="s">
        <v>91</v>
      </c>
      <c r="C144" t="s">
        <v>82</v>
      </c>
      <c r="D144" t="s">
        <v>80</v>
      </c>
      <c r="E144" s="24">
        <v>61958</v>
      </c>
      <c r="F144" s="25">
        <v>56094433.859999999</v>
      </c>
      <c r="G144" s="26">
        <v>4.58</v>
      </c>
      <c r="H144" s="26">
        <v>59.36</v>
      </c>
      <c r="I144" s="27">
        <v>24.48</v>
      </c>
      <c r="J144" s="27">
        <v>62.63</v>
      </c>
      <c r="K144" s="26">
        <v>92.83</v>
      </c>
      <c r="L144" t="s">
        <v>70</v>
      </c>
      <c r="M144" t="s">
        <v>102</v>
      </c>
    </row>
    <row r="145" spans="1:13" ht="15" customHeight="1" x14ac:dyDescent="0.35">
      <c r="A145">
        <v>2021</v>
      </c>
      <c r="B145" t="s">
        <v>91</v>
      </c>
      <c r="C145" t="s">
        <v>84</v>
      </c>
      <c r="D145" t="s">
        <v>80</v>
      </c>
      <c r="E145" s="24">
        <v>6501</v>
      </c>
      <c r="F145" s="25">
        <v>38321092.719999999</v>
      </c>
      <c r="G145" s="26">
        <v>5.28</v>
      </c>
      <c r="H145" s="26">
        <v>74.459999999999994</v>
      </c>
      <c r="I145" s="27">
        <v>32.11</v>
      </c>
      <c r="J145" s="27">
        <v>93.6</v>
      </c>
      <c r="K145" s="26">
        <v>93.25</v>
      </c>
      <c r="L145" t="s">
        <v>73</v>
      </c>
      <c r="M145" t="s">
        <v>102</v>
      </c>
    </row>
    <row r="146" spans="1:13" ht="15" customHeight="1" x14ac:dyDescent="0.35">
      <c r="A146">
        <v>2021</v>
      </c>
      <c r="B146" t="s">
        <v>91</v>
      </c>
      <c r="C146" t="s">
        <v>85</v>
      </c>
      <c r="D146" t="s">
        <v>80</v>
      </c>
      <c r="E146" s="24">
        <v>31267</v>
      </c>
      <c r="F146" s="25">
        <v>31015491.109999999</v>
      </c>
      <c r="G146" s="26">
        <v>3.11</v>
      </c>
      <c r="H146" s="26">
        <v>75.22</v>
      </c>
      <c r="I146" s="27">
        <v>36.29</v>
      </c>
      <c r="J146" s="27">
        <v>75.66</v>
      </c>
      <c r="K146" s="26">
        <v>48.08</v>
      </c>
      <c r="L146" t="s">
        <v>83</v>
      </c>
      <c r="M146" t="s">
        <v>102</v>
      </c>
    </row>
    <row r="147" spans="1:13" ht="15" customHeight="1" x14ac:dyDescent="0.35">
      <c r="A147">
        <v>2021</v>
      </c>
      <c r="B147" t="s">
        <v>91</v>
      </c>
      <c r="C147" t="s">
        <v>86</v>
      </c>
      <c r="D147" t="s">
        <v>80</v>
      </c>
      <c r="E147" s="24">
        <v>27446</v>
      </c>
      <c r="F147" s="25">
        <v>66537700.600000001</v>
      </c>
      <c r="G147" s="26">
        <v>5.89</v>
      </c>
      <c r="H147" s="26">
        <v>93.07</v>
      </c>
      <c r="I147" s="27">
        <v>25.38</v>
      </c>
      <c r="J147" s="27">
        <v>199.61</v>
      </c>
      <c r="K147" s="26">
        <v>89.51</v>
      </c>
      <c r="L147" t="s">
        <v>77</v>
      </c>
      <c r="M147" t="s">
        <v>102</v>
      </c>
    </row>
    <row r="148" spans="1:13" ht="15" customHeight="1" x14ac:dyDescent="0.35">
      <c r="A148">
        <v>2021</v>
      </c>
      <c r="B148" t="s">
        <v>91</v>
      </c>
      <c r="C148" t="s">
        <v>87</v>
      </c>
      <c r="D148" t="s">
        <v>80</v>
      </c>
      <c r="E148" s="24">
        <v>60479</v>
      </c>
      <c r="F148" s="25">
        <v>80946999.25</v>
      </c>
      <c r="G148" s="26">
        <v>4.3600000000000003</v>
      </c>
      <c r="H148" s="26">
        <v>41.23</v>
      </c>
      <c r="I148" s="27">
        <v>45.34</v>
      </c>
      <c r="J148" s="27">
        <v>215.46</v>
      </c>
      <c r="K148" s="26">
        <v>49.82</v>
      </c>
      <c r="L148" t="s">
        <v>73</v>
      </c>
      <c r="M148" t="s">
        <v>102</v>
      </c>
    </row>
    <row r="149" spans="1:13" ht="15" customHeight="1" x14ac:dyDescent="0.35">
      <c r="A149">
        <v>2021</v>
      </c>
      <c r="B149" t="s">
        <v>91</v>
      </c>
      <c r="C149" t="s">
        <v>88</v>
      </c>
      <c r="D149" t="s">
        <v>80</v>
      </c>
      <c r="E149" s="24">
        <v>33576</v>
      </c>
      <c r="F149" s="25">
        <v>15758344.550000001</v>
      </c>
      <c r="G149" s="26">
        <v>6.65</v>
      </c>
      <c r="H149" s="26">
        <v>73.37</v>
      </c>
      <c r="I149" s="27">
        <v>14.85</v>
      </c>
      <c r="J149" s="27">
        <v>69.650000000000006</v>
      </c>
      <c r="K149" s="26">
        <v>58.52</v>
      </c>
      <c r="L149" t="s">
        <v>83</v>
      </c>
      <c r="M149" t="s">
        <v>102</v>
      </c>
    </row>
    <row r="150" spans="1:13" ht="15" customHeight="1" x14ac:dyDescent="0.35">
      <c r="A150">
        <v>2021</v>
      </c>
      <c r="B150" t="s">
        <v>91</v>
      </c>
      <c r="C150" t="s">
        <v>89</v>
      </c>
      <c r="D150" t="s">
        <v>80</v>
      </c>
      <c r="E150" s="24">
        <v>53719</v>
      </c>
      <c r="F150" s="25">
        <v>32766472.260000002</v>
      </c>
      <c r="G150" s="26">
        <v>2.82</v>
      </c>
      <c r="H150" s="26">
        <v>96.44</v>
      </c>
      <c r="I150" s="27">
        <v>40.479999999999997</v>
      </c>
      <c r="J150" s="27">
        <v>160.44999999999999</v>
      </c>
      <c r="K150" s="26">
        <v>71.77</v>
      </c>
      <c r="L150" t="s">
        <v>73</v>
      </c>
      <c r="M150" t="s">
        <v>102</v>
      </c>
    </row>
    <row r="151" spans="1:13" ht="15" customHeight="1" x14ac:dyDescent="0.35">
      <c r="A151">
        <v>2021</v>
      </c>
      <c r="B151" t="s">
        <v>91</v>
      </c>
      <c r="C151" t="s">
        <v>90</v>
      </c>
      <c r="D151" t="s">
        <v>80</v>
      </c>
      <c r="E151" s="24">
        <v>34710</v>
      </c>
      <c r="F151" s="25">
        <v>17998844.949999999</v>
      </c>
      <c r="G151" s="26">
        <v>5.28</v>
      </c>
      <c r="H151" s="26">
        <v>61.27</v>
      </c>
      <c r="I151" s="27">
        <v>11.75</v>
      </c>
      <c r="J151" s="27">
        <v>237.56</v>
      </c>
      <c r="K151" s="26">
        <v>76.8</v>
      </c>
      <c r="L151" t="s">
        <v>75</v>
      </c>
      <c r="M151" t="s">
        <v>102</v>
      </c>
    </row>
    <row r="152" spans="1:13" ht="15" customHeight="1" x14ac:dyDescent="0.35">
      <c r="A152">
        <v>2021</v>
      </c>
      <c r="B152" t="s">
        <v>93</v>
      </c>
      <c r="C152" t="s">
        <v>68</v>
      </c>
      <c r="D152" t="s">
        <v>69</v>
      </c>
      <c r="E152" s="24">
        <v>39031</v>
      </c>
      <c r="F152" s="25">
        <v>18608941.010000002</v>
      </c>
      <c r="G152" s="26">
        <v>3.81</v>
      </c>
      <c r="H152" s="26">
        <v>33.54</v>
      </c>
      <c r="I152" s="27">
        <v>15.3</v>
      </c>
      <c r="J152" s="27">
        <v>107.98</v>
      </c>
      <c r="K152" s="26">
        <v>58.3</v>
      </c>
      <c r="L152" t="s">
        <v>70</v>
      </c>
      <c r="M152" t="s">
        <v>103</v>
      </c>
    </row>
    <row r="153" spans="1:13" ht="15" customHeight="1" x14ac:dyDescent="0.35">
      <c r="A153">
        <v>2021</v>
      </c>
      <c r="B153" t="s">
        <v>93</v>
      </c>
      <c r="C153" t="s">
        <v>72</v>
      </c>
      <c r="D153" t="s">
        <v>69</v>
      </c>
      <c r="E153" s="24">
        <v>34903</v>
      </c>
      <c r="F153" s="25">
        <v>18518248.489999998</v>
      </c>
      <c r="G153" s="26">
        <v>2.0499999999999998</v>
      </c>
      <c r="H153" s="26">
        <v>53.32</v>
      </c>
      <c r="I153" s="27">
        <v>5.41</v>
      </c>
      <c r="J153" s="27">
        <v>217.97</v>
      </c>
      <c r="K153" s="26">
        <v>54.81</v>
      </c>
      <c r="L153" t="s">
        <v>83</v>
      </c>
      <c r="M153" t="s">
        <v>103</v>
      </c>
    </row>
    <row r="154" spans="1:13" ht="15" customHeight="1" x14ac:dyDescent="0.35">
      <c r="A154">
        <v>2021</v>
      </c>
      <c r="B154" t="s">
        <v>93</v>
      </c>
      <c r="C154" t="s">
        <v>74</v>
      </c>
      <c r="D154" t="s">
        <v>69</v>
      </c>
      <c r="E154" s="24">
        <v>35996</v>
      </c>
      <c r="F154" s="25">
        <v>23537405.350000001</v>
      </c>
      <c r="G154" s="26">
        <v>3.53</v>
      </c>
      <c r="H154" s="26">
        <v>37.57</v>
      </c>
      <c r="I154" s="27">
        <v>31.68</v>
      </c>
      <c r="J154" s="27">
        <v>291.12</v>
      </c>
      <c r="K154" s="26">
        <v>85.21</v>
      </c>
      <c r="L154" t="s">
        <v>73</v>
      </c>
      <c r="M154" t="s">
        <v>103</v>
      </c>
    </row>
    <row r="155" spans="1:13" ht="15" customHeight="1" x14ac:dyDescent="0.35">
      <c r="A155">
        <v>2021</v>
      </c>
      <c r="B155" t="s">
        <v>93</v>
      </c>
      <c r="C155" t="s">
        <v>76</v>
      </c>
      <c r="D155" t="s">
        <v>69</v>
      </c>
      <c r="E155" s="24">
        <v>42820</v>
      </c>
      <c r="F155" s="25">
        <v>29532856.460000001</v>
      </c>
      <c r="G155" s="26">
        <v>0</v>
      </c>
      <c r="H155" s="26">
        <v>68.239999999999995</v>
      </c>
      <c r="I155" s="27">
        <v>19.11</v>
      </c>
      <c r="J155" s="27">
        <v>188.16</v>
      </c>
      <c r="K155" s="26">
        <v>46.5</v>
      </c>
      <c r="L155" t="s">
        <v>73</v>
      </c>
      <c r="M155" t="s">
        <v>103</v>
      </c>
    </row>
    <row r="156" spans="1:13" ht="15" customHeight="1" x14ac:dyDescent="0.35">
      <c r="A156">
        <v>2021</v>
      </c>
      <c r="B156" t="s">
        <v>93</v>
      </c>
      <c r="C156" t="s">
        <v>78</v>
      </c>
      <c r="D156" t="s">
        <v>69</v>
      </c>
      <c r="E156" s="24">
        <v>28881</v>
      </c>
      <c r="F156" s="25">
        <v>21441364.649999999</v>
      </c>
      <c r="G156" s="26">
        <v>0.66</v>
      </c>
      <c r="H156" s="26">
        <v>41.69</v>
      </c>
      <c r="I156" s="27">
        <v>44.53</v>
      </c>
      <c r="J156" s="27">
        <v>269.38</v>
      </c>
      <c r="K156" s="26">
        <v>59.06</v>
      </c>
      <c r="L156" t="s">
        <v>75</v>
      </c>
      <c r="M156" t="s">
        <v>103</v>
      </c>
    </row>
    <row r="157" spans="1:13" ht="15" customHeight="1" x14ac:dyDescent="0.35">
      <c r="A157">
        <v>2021</v>
      </c>
      <c r="B157" t="s">
        <v>93</v>
      </c>
      <c r="C157" t="s">
        <v>79</v>
      </c>
      <c r="D157" t="s">
        <v>80</v>
      </c>
      <c r="E157" s="24">
        <v>55419</v>
      </c>
      <c r="F157" s="25">
        <v>10737537.960000001</v>
      </c>
      <c r="G157" s="26">
        <v>2.59</v>
      </c>
      <c r="H157" s="26">
        <v>68.8</v>
      </c>
      <c r="I157" s="27">
        <v>35.979999999999997</v>
      </c>
      <c r="J157" s="27">
        <v>196.85</v>
      </c>
      <c r="K157" s="26">
        <v>72.959999999999994</v>
      </c>
      <c r="L157" t="s">
        <v>75</v>
      </c>
      <c r="M157" t="s">
        <v>103</v>
      </c>
    </row>
    <row r="158" spans="1:13" ht="15" customHeight="1" x14ac:dyDescent="0.35">
      <c r="A158">
        <v>2021</v>
      </c>
      <c r="B158" t="s">
        <v>93</v>
      </c>
      <c r="C158" t="s">
        <v>81</v>
      </c>
      <c r="D158" t="s">
        <v>80</v>
      </c>
      <c r="E158" s="24">
        <v>7872</v>
      </c>
      <c r="F158" s="25">
        <v>5221237.33</v>
      </c>
      <c r="G158" s="26">
        <v>4.1100000000000003</v>
      </c>
      <c r="H158" s="26">
        <v>54.57</v>
      </c>
      <c r="I158" s="27">
        <v>44.85</v>
      </c>
      <c r="J158" s="27">
        <v>202.32</v>
      </c>
      <c r="K158" s="26">
        <v>88.65</v>
      </c>
      <c r="L158" t="s">
        <v>83</v>
      </c>
      <c r="M158" t="s">
        <v>103</v>
      </c>
    </row>
    <row r="159" spans="1:13" ht="15" customHeight="1" x14ac:dyDescent="0.35">
      <c r="A159">
        <v>2021</v>
      </c>
      <c r="B159" t="s">
        <v>93</v>
      </c>
      <c r="C159" t="s">
        <v>82</v>
      </c>
      <c r="D159" t="s">
        <v>80</v>
      </c>
      <c r="E159" s="24">
        <v>24758</v>
      </c>
      <c r="F159" s="25">
        <v>51101597.950000003</v>
      </c>
      <c r="G159" s="26">
        <v>4.72</v>
      </c>
      <c r="H159" s="26">
        <v>98.62</v>
      </c>
      <c r="I159" s="27">
        <v>35.630000000000003</v>
      </c>
      <c r="J159" s="27">
        <v>259.73</v>
      </c>
      <c r="K159" s="26">
        <v>81.14</v>
      </c>
      <c r="L159" t="s">
        <v>75</v>
      </c>
      <c r="M159" t="s">
        <v>103</v>
      </c>
    </row>
    <row r="160" spans="1:13" ht="15" customHeight="1" x14ac:dyDescent="0.35">
      <c r="A160">
        <v>2021</v>
      </c>
      <c r="B160" t="s">
        <v>93</v>
      </c>
      <c r="C160" t="s">
        <v>84</v>
      </c>
      <c r="D160" t="s">
        <v>80</v>
      </c>
      <c r="E160" s="24">
        <v>50384</v>
      </c>
      <c r="F160" s="25">
        <v>16798329.649999999</v>
      </c>
      <c r="G160" s="26">
        <v>4.3600000000000003</v>
      </c>
      <c r="H160" s="26">
        <v>89.43</v>
      </c>
      <c r="I160" s="27">
        <v>51.51</v>
      </c>
      <c r="J160" s="27">
        <v>132.01</v>
      </c>
      <c r="K160" s="26">
        <v>80.989999999999995</v>
      </c>
      <c r="L160" t="s">
        <v>70</v>
      </c>
      <c r="M160" t="s">
        <v>103</v>
      </c>
    </row>
    <row r="161" spans="1:13" ht="15" customHeight="1" x14ac:dyDescent="0.35">
      <c r="A161">
        <v>2021</v>
      </c>
      <c r="B161" t="s">
        <v>93</v>
      </c>
      <c r="C161" t="s">
        <v>85</v>
      </c>
      <c r="D161" t="s">
        <v>80</v>
      </c>
      <c r="E161" s="24">
        <v>8281</v>
      </c>
      <c r="F161" s="25">
        <v>15827206.449999999</v>
      </c>
      <c r="G161" s="26">
        <v>2.87</v>
      </c>
      <c r="H161" s="26">
        <v>97.24</v>
      </c>
      <c r="I161" s="27">
        <v>49.02</v>
      </c>
      <c r="J161" s="27">
        <v>297.81</v>
      </c>
      <c r="K161" s="26">
        <v>77.33</v>
      </c>
      <c r="L161" t="s">
        <v>77</v>
      </c>
      <c r="M161" t="s">
        <v>103</v>
      </c>
    </row>
    <row r="162" spans="1:13" ht="15" customHeight="1" x14ac:dyDescent="0.35">
      <c r="A162">
        <v>2021</v>
      </c>
      <c r="B162" t="s">
        <v>93</v>
      </c>
      <c r="C162" t="s">
        <v>86</v>
      </c>
      <c r="D162" t="s">
        <v>80</v>
      </c>
      <c r="E162" s="24">
        <v>54330</v>
      </c>
      <c r="F162" s="25">
        <v>37269680.390000001</v>
      </c>
      <c r="G162" s="26">
        <v>6.02</v>
      </c>
      <c r="H162" s="26">
        <v>48.4</v>
      </c>
      <c r="I162" s="27">
        <v>15.34</v>
      </c>
      <c r="J162" s="27">
        <v>212.64</v>
      </c>
      <c r="K162" s="26">
        <v>88.87</v>
      </c>
      <c r="L162" t="s">
        <v>75</v>
      </c>
      <c r="M162" t="s">
        <v>103</v>
      </c>
    </row>
    <row r="163" spans="1:13" ht="15" customHeight="1" x14ac:dyDescent="0.35">
      <c r="A163">
        <v>2021</v>
      </c>
      <c r="B163" t="s">
        <v>93</v>
      </c>
      <c r="C163" t="s">
        <v>87</v>
      </c>
      <c r="D163" t="s">
        <v>80</v>
      </c>
      <c r="E163" s="24">
        <v>32683</v>
      </c>
      <c r="F163" s="25">
        <v>17951923.899999999</v>
      </c>
      <c r="G163" s="26">
        <v>4.8600000000000003</v>
      </c>
      <c r="H163" s="26">
        <v>53.85</v>
      </c>
      <c r="I163" s="27">
        <v>21.86</v>
      </c>
      <c r="J163" s="27">
        <v>99.2</v>
      </c>
      <c r="K163" s="26">
        <v>71.55</v>
      </c>
      <c r="L163" t="s">
        <v>83</v>
      </c>
      <c r="M163" t="s">
        <v>103</v>
      </c>
    </row>
    <row r="164" spans="1:13" ht="15" customHeight="1" x14ac:dyDescent="0.35">
      <c r="A164">
        <v>2021</v>
      </c>
      <c r="B164" t="s">
        <v>93</v>
      </c>
      <c r="C164" t="s">
        <v>88</v>
      </c>
      <c r="D164" t="s">
        <v>80</v>
      </c>
      <c r="E164" s="24">
        <v>58052</v>
      </c>
      <c r="F164" s="25">
        <v>45303231.340000004</v>
      </c>
      <c r="G164" s="26">
        <v>5.93</v>
      </c>
      <c r="H164" s="26">
        <v>82.65</v>
      </c>
      <c r="I164" s="27">
        <v>33.54</v>
      </c>
      <c r="J164" s="27">
        <v>271.18</v>
      </c>
      <c r="K164" s="26">
        <v>90.26</v>
      </c>
      <c r="L164" t="s">
        <v>70</v>
      </c>
      <c r="M164" t="s">
        <v>103</v>
      </c>
    </row>
    <row r="165" spans="1:13" ht="15" customHeight="1" x14ac:dyDescent="0.35">
      <c r="A165">
        <v>2021</v>
      </c>
      <c r="B165" t="s">
        <v>93</v>
      </c>
      <c r="C165" t="s">
        <v>89</v>
      </c>
      <c r="D165" t="s">
        <v>80</v>
      </c>
      <c r="E165" s="24">
        <v>28022</v>
      </c>
      <c r="F165" s="25">
        <v>33044277.48</v>
      </c>
      <c r="G165" s="26">
        <v>3.7</v>
      </c>
      <c r="H165" s="26">
        <v>91.77</v>
      </c>
      <c r="I165" s="27">
        <v>8.11</v>
      </c>
      <c r="J165" s="27">
        <v>274.8</v>
      </c>
      <c r="K165" s="26">
        <v>87</v>
      </c>
      <c r="L165" t="s">
        <v>83</v>
      </c>
      <c r="M165" t="s">
        <v>103</v>
      </c>
    </row>
    <row r="166" spans="1:13" ht="15" customHeight="1" x14ac:dyDescent="0.35">
      <c r="A166">
        <v>2021</v>
      </c>
      <c r="B166" t="s">
        <v>93</v>
      </c>
      <c r="C166" t="s">
        <v>90</v>
      </c>
      <c r="D166" t="s">
        <v>80</v>
      </c>
      <c r="E166" s="24">
        <v>55987</v>
      </c>
      <c r="F166" s="25">
        <v>5330566.68</v>
      </c>
      <c r="G166" s="26">
        <v>2.81</v>
      </c>
      <c r="H166" s="26">
        <v>47.52</v>
      </c>
      <c r="I166" s="27">
        <v>46.97</v>
      </c>
      <c r="J166" s="27">
        <v>166.12</v>
      </c>
      <c r="K166" s="26">
        <v>82.49</v>
      </c>
      <c r="L166" t="s">
        <v>70</v>
      </c>
      <c r="M166" t="s">
        <v>103</v>
      </c>
    </row>
    <row r="167" spans="1:13" ht="15" customHeight="1" x14ac:dyDescent="0.35">
      <c r="A167">
        <v>2021</v>
      </c>
      <c r="B167" t="s">
        <v>95</v>
      </c>
      <c r="C167" t="s">
        <v>68</v>
      </c>
      <c r="D167" t="s">
        <v>69</v>
      </c>
      <c r="E167" s="24">
        <v>5309</v>
      </c>
      <c r="F167" s="25">
        <v>30375439.559999999</v>
      </c>
      <c r="G167" s="26">
        <v>0</v>
      </c>
      <c r="H167" s="26">
        <v>38.35</v>
      </c>
      <c r="I167" s="27">
        <v>33.49</v>
      </c>
      <c r="J167" s="27">
        <v>297.3</v>
      </c>
      <c r="K167" s="26">
        <v>66.819999999999993</v>
      </c>
      <c r="L167" t="s">
        <v>70</v>
      </c>
      <c r="M167" t="s">
        <v>104</v>
      </c>
    </row>
    <row r="168" spans="1:13" ht="15" customHeight="1" x14ac:dyDescent="0.35">
      <c r="A168">
        <v>2021</v>
      </c>
      <c r="B168" t="s">
        <v>95</v>
      </c>
      <c r="C168" t="s">
        <v>72</v>
      </c>
      <c r="D168" t="s">
        <v>69</v>
      </c>
      <c r="E168" s="24">
        <v>39415</v>
      </c>
      <c r="F168" s="25">
        <v>15774523.4</v>
      </c>
      <c r="G168" s="26">
        <v>3.44</v>
      </c>
      <c r="H168" s="26">
        <v>72.400000000000006</v>
      </c>
      <c r="I168" s="27">
        <v>38.090000000000003</v>
      </c>
      <c r="J168" s="27">
        <v>242.8</v>
      </c>
      <c r="K168" s="26">
        <v>86.48</v>
      </c>
      <c r="L168" t="s">
        <v>77</v>
      </c>
      <c r="M168" t="s">
        <v>104</v>
      </c>
    </row>
    <row r="169" spans="1:13" ht="15" customHeight="1" x14ac:dyDescent="0.35">
      <c r="A169">
        <v>2021</v>
      </c>
      <c r="B169" t="s">
        <v>95</v>
      </c>
      <c r="C169" t="s">
        <v>74</v>
      </c>
      <c r="D169" t="s">
        <v>69</v>
      </c>
      <c r="E169" s="24">
        <v>7734</v>
      </c>
      <c r="F169" s="25">
        <v>10384187.42</v>
      </c>
      <c r="G169" s="26">
        <v>2.4300000000000002</v>
      </c>
      <c r="H169" s="26">
        <v>37.340000000000003</v>
      </c>
      <c r="I169" s="27">
        <v>20.93</v>
      </c>
      <c r="J169" s="27">
        <v>122.97</v>
      </c>
      <c r="K169" s="26">
        <v>82.42</v>
      </c>
      <c r="L169" t="s">
        <v>73</v>
      </c>
      <c r="M169" t="s">
        <v>104</v>
      </c>
    </row>
    <row r="170" spans="1:13" ht="15" customHeight="1" x14ac:dyDescent="0.35">
      <c r="A170">
        <v>2021</v>
      </c>
      <c r="B170" t="s">
        <v>95</v>
      </c>
      <c r="C170" t="s">
        <v>76</v>
      </c>
      <c r="D170" t="s">
        <v>69</v>
      </c>
      <c r="E170" s="24">
        <v>40180</v>
      </c>
      <c r="F170" s="25">
        <v>8451472.2200000007</v>
      </c>
      <c r="G170" s="26">
        <v>3.22</v>
      </c>
      <c r="H170" s="26">
        <v>52.55</v>
      </c>
      <c r="I170" s="27">
        <v>44.45</v>
      </c>
      <c r="J170" s="27">
        <v>97.8</v>
      </c>
      <c r="K170" s="26">
        <v>53.34</v>
      </c>
      <c r="L170" t="s">
        <v>83</v>
      </c>
      <c r="M170" t="s">
        <v>104</v>
      </c>
    </row>
    <row r="171" spans="1:13" ht="15" customHeight="1" x14ac:dyDescent="0.35">
      <c r="A171">
        <v>2021</v>
      </c>
      <c r="B171" t="s">
        <v>95</v>
      </c>
      <c r="C171" t="s">
        <v>78</v>
      </c>
      <c r="D171" t="s">
        <v>69</v>
      </c>
      <c r="E171" s="24">
        <v>39509</v>
      </c>
      <c r="F171" s="25">
        <v>57709591.710000001</v>
      </c>
      <c r="G171" s="26">
        <v>0.44</v>
      </c>
      <c r="H171" s="26">
        <v>52.43</v>
      </c>
      <c r="I171" s="27">
        <v>9.26</v>
      </c>
      <c r="J171" s="27">
        <v>214.47</v>
      </c>
      <c r="K171" s="26">
        <v>84.68</v>
      </c>
      <c r="L171" t="s">
        <v>75</v>
      </c>
      <c r="M171" t="s">
        <v>104</v>
      </c>
    </row>
    <row r="172" spans="1:13" ht="15" customHeight="1" x14ac:dyDescent="0.35">
      <c r="A172">
        <v>2021</v>
      </c>
      <c r="B172" t="s">
        <v>95</v>
      </c>
      <c r="C172" t="s">
        <v>79</v>
      </c>
      <c r="D172" t="s">
        <v>80</v>
      </c>
      <c r="E172" s="24">
        <v>7653</v>
      </c>
      <c r="F172" s="25">
        <v>25848407.75</v>
      </c>
      <c r="G172" s="26">
        <v>6.33</v>
      </c>
      <c r="H172" s="26">
        <v>66.02</v>
      </c>
      <c r="I172" s="27">
        <v>9.81</v>
      </c>
      <c r="J172" s="27">
        <v>183.48</v>
      </c>
      <c r="K172" s="26">
        <v>54.28</v>
      </c>
      <c r="L172" t="s">
        <v>75</v>
      </c>
      <c r="M172" t="s">
        <v>104</v>
      </c>
    </row>
    <row r="173" spans="1:13" ht="15" customHeight="1" x14ac:dyDescent="0.35">
      <c r="A173">
        <v>2021</v>
      </c>
      <c r="B173" t="s">
        <v>95</v>
      </c>
      <c r="C173" t="s">
        <v>81</v>
      </c>
      <c r="D173" t="s">
        <v>80</v>
      </c>
      <c r="E173" s="24">
        <v>10112</v>
      </c>
      <c r="F173" s="25">
        <v>41338291.909999996</v>
      </c>
      <c r="G173" s="26">
        <v>3.44</v>
      </c>
      <c r="H173" s="26">
        <v>40.869999999999997</v>
      </c>
      <c r="I173" s="27">
        <v>37.22</v>
      </c>
      <c r="J173" s="27">
        <v>93.6</v>
      </c>
      <c r="K173" s="26">
        <v>72.67</v>
      </c>
      <c r="L173" t="s">
        <v>70</v>
      </c>
      <c r="M173" t="s">
        <v>104</v>
      </c>
    </row>
    <row r="174" spans="1:13" ht="15" customHeight="1" x14ac:dyDescent="0.35">
      <c r="A174">
        <v>2021</v>
      </c>
      <c r="B174" t="s">
        <v>95</v>
      </c>
      <c r="C174" t="s">
        <v>82</v>
      </c>
      <c r="D174" t="s">
        <v>80</v>
      </c>
      <c r="E174" s="24">
        <v>63494</v>
      </c>
      <c r="F174" s="25">
        <v>10304716.720000001</v>
      </c>
      <c r="G174" s="26">
        <v>3.98</v>
      </c>
      <c r="H174" s="26">
        <v>74.63</v>
      </c>
      <c r="I174" s="27">
        <v>53.48</v>
      </c>
      <c r="J174" s="27">
        <v>296.12</v>
      </c>
      <c r="K174" s="26">
        <v>93.14</v>
      </c>
      <c r="L174" t="s">
        <v>77</v>
      </c>
      <c r="M174" t="s">
        <v>104</v>
      </c>
    </row>
    <row r="175" spans="1:13" ht="15" customHeight="1" x14ac:dyDescent="0.35">
      <c r="A175">
        <v>2021</v>
      </c>
      <c r="B175" t="s">
        <v>95</v>
      </c>
      <c r="C175" t="s">
        <v>84</v>
      </c>
      <c r="D175" t="s">
        <v>80</v>
      </c>
      <c r="E175" s="24">
        <v>40197</v>
      </c>
      <c r="F175" s="25">
        <v>47733241.810000002</v>
      </c>
      <c r="G175" s="26">
        <v>4.21</v>
      </c>
      <c r="H175" s="26">
        <v>63.71</v>
      </c>
      <c r="I175" s="27">
        <v>37.93</v>
      </c>
      <c r="J175" s="27">
        <v>70.52</v>
      </c>
      <c r="K175" s="26">
        <v>74.59</v>
      </c>
      <c r="L175" t="s">
        <v>83</v>
      </c>
      <c r="M175" t="s">
        <v>104</v>
      </c>
    </row>
    <row r="176" spans="1:13" ht="15" customHeight="1" x14ac:dyDescent="0.35">
      <c r="A176">
        <v>2021</v>
      </c>
      <c r="B176" t="s">
        <v>95</v>
      </c>
      <c r="C176" t="s">
        <v>85</v>
      </c>
      <c r="D176" t="s">
        <v>80</v>
      </c>
      <c r="E176" s="24">
        <v>28000</v>
      </c>
      <c r="F176" s="25">
        <v>39976458.880000003</v>
      </c>
      <c r="G176" s="26">
        <v>6.67</v>
      </c>
      <c r="H176" s="26">
        <v>56.79</v>
      </c>
      <c r="I176" s="27">
        <v>11.35</v>
      </c>
      <c r="J176" s="27">
        <v>240.77</v>
      </c>
      <c r="K176" s="26">
        <v>51.48</v>
      </c>
      <c r="L176" t="s">
        <v>70</v>
      </c>
      <c r="M176" t="s">
        <v>104</v>
      </c>
    </row>
    <row r="177" spans="1:13" ht="15" customHeight="1" x14ac:dyDescent="0.35">
      <c r="A177">
        <v>2021</v>
      </c>
      <c r="B177" t="s">
        <v>95</v>
      </c>
      <c r="C177" t="s">
        <v>86</v>
      </c>
      <c r="D177" t="s">
        <v>80</v>
      </c>
      <c r="E177" s="24">
        <v>30537</v>
      </c>
      <c r="F177" s="25">
        <v>33782555.280000001</v>
      </c>
      <c r="G177" s="26">
        <v>6.26</v>
      </c>
      <c r="H177" s="26">
        <v>48.75</v>
      </c>
      <c r="I177" s="27">
        <v>15.75</v>
      </c>
      <c r="J177" s="27">
        <v>162.28</v>
      </c>
      <c r="K177" s="26">
        <v>64.739999999999995</v>
      </c>
      <c r="L177" t="s">
        <v>73</v>
      </c>
      <c r="M177" t="s">
        <v>104</v>
      </c>
    </row>
    <row r="178" spans="1:13" ht="15" customHeight="1" x14ac:dyDescent="0.35">
      <c r="A178">
        <v>2021</v>
      </c>
      <c r="B178" t="s">
        <v>95</v>
      </c>
      <c r="C178" t="s">
        <v>87</v>
      </c>
      <c r="D178" t="s">
        <v>80</v>
      </c>
      <c r="E178" s="24">
        <v>16890</v>
      </c>
      <c r="F178" s="25">
        <v>10789418.34</v>
      </c>
      <c r="G178" s="26">
        <v>3.36</v>
      </c>
      <c r="H178" s="26">
        <v>73.7</v>
      </c>
      <c r="I178" s="27">
        <v>27.02</v>
      </c>
      <c r="J178" s="27">
        <v>202.39</v>
      </c>
      <c r="K178" s="26">
        <v>52.08</v>
      </c>
      <c r="L178" t="s">
        <v>83</v>
      </c>
      <c r="M178" t="s">
        <v>104</v>
      </c>
    </row>
    <row r="179" spans="1:13" ht="15" customHeight="1" x14ac:dyDescent="0.35">
      <c r="A179">
        <v>2021</v>
      </c>
      <c r="B179" t="s">
        <v>95</v>
      </c>
      <c r="C179" t="s">
        <v>88</v>
      </c>
      <c r="D179" t="s">
        <v>80</v>
      </c>
      <c r="E179" s="24">
        <v>50895</v>
      </c>
      <c r="F179" s="25">
        <v>58673135.229999997</v>
      </c>
      <c r="G179" s="26">
        <v>5.33</v>
      </c>
      <c r="H179" s="26">
        <v>57.73</v>
      </c>
      <c r="I179" s="27">
        <v>31.67</v>
      </c>
      <c r="J179" s="27">
        <v>226.07</v>
      </c>
      <c r="K179" s="26">
        <v>94.36</v>
      </c>
      <c r="L179" t="s">
        <v>70</v>
      </c>
      <c r="M179" t="s">
        <v>104</v>
      </c>
    </row>
    <row r="180" spans="1:13" ht="15" customHeight="1" x14ac:dyDescent="0.35">
      <c r="A180">
        <v>2021</v>
      </c>
      <c r="B180" t="s">
        <v>95</v>
      </c>
      <c r="C180" t="s">
        <v>89</v>
      </c>
      <c r="D180" t="s">
        <v>80</v>
      </c>
      <c r="E180" s="24">
        <v>14293</v>
      </c>
      <c r="F180" s="25">
        <v>84264943.840000004</v>
      </c>
      <c r="G180" s="26">
        <v>3.84</v>
      </c>
      <c r="H180" s="26">
        <v>95.98</v>
      </c>
      <c r="I180" s="27">
        <v>19.39</v>
      </c>
      <c r="J180" s="27">
        <v>139.82</v>
      </c>
      <c r="K180" s="26">
        <v>81.790000000000006</v>
      </c>
      <c r="L180" t="s">
        <v>70</v>
      </c>
      <c r="M180" t="s">
        <v>104</v>
      </c>
    </row>
    <row r="181" spans="1:13" ht="15" customHeight="1" x14ac:dyDescent="0.35">
      <c r="A181">
        <v>2021</v>
      </c>
      <c r="B181" t="s">
        <v>95</v>
      </c>
      <c r="C181" t="s">
        <v>90</v>
      </c>
      <c r="D181" t="s">
        <v>80</v>
      </c>
      <c r="E181" s="24">
        <v>18172</v>
      </c>
      <c r="F181" s="25">
        <v>7206944.6500000004</v>
      </c>
      <c r="G181" s="26">
        <v>5.16</v>
      </c>
      <c r="H181" s="26">
        <v>68.44</v>
      </c>
      <c r="I181" s="27">
        <v>22.27</v>
      </c>
      <c r="J181" s="27">
        <v>184.61</v>
      </c>
      <c r="K181" s="26">
        <v>68.86</v>
      </c>
      <c r="L181" t="s">
        <v>83</v>
      </c>
      <c r="M181" t="s">
        <v>104</v>
      </c>
    </row>
    <row r="182" spans="1:13" ht="15" customHeight="1" x14ac:dyDescent="0.35">
      <c r="A182">
        <v>2022</v>
      </c>
      <c r="B182" t="s">
        <v>67</v>
      </c>
      <c r="C182" t="s">
        <v>68</v>
      </c>
      <c r="D182" t="s">
        <v>69</v>
      </c>
      <c r="E182" s="24">
        <v>23678</v>
      </c>
      <c r="F182" s="25">
        <v>23302026.23</v>
      </c>
      <c r="G182" s="26">
        <v>0.57999999999999996</v>
      </c>
      <c r="H182" s="26">
        <v>45.61</v>
      </c>
      <c r="I182" s="27">
        <v>43.79</v>
      </c>
      <c r="J182" s="27">
        <v>156.56</v>
      </c>
      <c r="K182" s="26">
        <v>72.06</v>
      </c>
      <c r="L182" t="s">
        <v>83</v>
      </c>
      <c r="M182" t="s">
        <v>105</v>
      </c>
    </row>
    <row r="183" spans="1:13" ht="15" customHeight="1" x14ac:dyDescent="0.35">
      <c r="A183">
        <v>2022</v>
      </c>
      <c r="B183" t="s">
        <v>67</v>
      </c>
      <c r="C183" t="s">
        <v>72</v>
      </c>
      <c r="D183" t="s">
        <v>69</v>
      </c>
      <c r="E183" s="24">
        <v>24682</v>
      </c>
      <c r="F183" s="25">
        <v>30388420.879999999</v>
      </c>
      <c r="G183" s="26">
        <v>3.89</v>
      </c>
      <c r="H183" s="26">
        <v>65.349999999999994</v>
      </c>
      <c r="I183" s="27">
        <v>41.22</v>
      </c>
      <c r="J183" s="27">
        <v>202.74</v>
      </c>
      <c r="K183" s="26">
        <v>65.05</v>
      </c>
      <c r="L183" t="s">
        <v>73</v>
      </c>
      <c r="M183" t="s">
        <v>105</v>
      </c>
    </row>
    <row r="184" spans="1:13" ht="15" customHeight="1" x14ac:dyDescent="0.35">
      <c r="A184">
        <v>2022</v>
      </c>
      <c r="B184" t="s">
        <v>67</v>
      </c>
      <c r="C184" t="s">
        <v>74</v>
      </c>
      <c r="D184" t="s">
        <v>69</v>
      </c>
      <c r="E184" s="24">
        <v>49869</v>
      </c>
      <c r="F184" s="25">
        <v>25015561.710000001</v>
      </c>
      <c r="G184" s="26">
        <v>0</v>
      </c>
      <c r="H184" s="26">
        <v>66.77</v>
      </c>
      <c r="I184" s="27">
        <v>25.65</v>
      </c>
      <c r="J184" s="27">
        <v>137.77000000000001</v>
      </c>
      <c r="K184" s="26">
        <v>75.23</v>
      </c>
      <c r="L184" t="s">
        <v>77</v>
      </c>
      <c r="M184" t="s">
        <v>105</v>
      </c>
    </row>
    <row r="185" spans="1:13" ht="15" customHeight="1" x14ac:dyDescent="0.35">
      <c r="A185">
        <v>2022</v>
      </c>
      <c r="B185" t="s">
        <v>67</v>
      </c>
      <c r="C185" t="s">
        <v>76</v>
      </c>
      <c r="D185" t="s">
        <v>69</v>
      </c>
      <c r="E185" s="24">
        <v>5718</v>
      </c>
      <c r="F185" s="25">
        <v>47611430.590000004</v>
      </c>
      <c r="G185" s="26">
        <v>3.4</v>
      </c>
      <c r="H185" s="26">
        <v>60.4</v>
      </c>
      <c r="I185" s="27">
        <v>15.37</v>
      </c>
      <c r="J185" s="27">
        <v>128.61000000000001</v>
      </c>
      <c r="K185" s="26">
        <v>41.67</v>
      </c>
      <c r="L185" t="s">
        <v>77</v>
      </c>
      <c r="M185" t="s">
        <v>105</v>
      </c>
    </row>
    <row r="186" spans="1:13" ht="15" customHeight="1" x14ac:dyDescent="0.35">
      <c r="A186">
        <v>2022</v>
      </c>
      <c r="B186" t="s">
        <v>67</v>
      </c>
      <c r="C186" t="s">
        <v>78</v>
      </c>
      <c r="D186" t="s">
        <v>69</v>
      </c>
      <c r="E186" s="24">
        <v>35233</v>
      </c>
      <c r="F186" s="25">
        <v>10414206.279999999</v>
      </c>
      <c r="G186" s="26">
        <v>2.0099999999999998</v>
      </c>
      <c r="H186" s="26">
        <v>84.7</v>
      </c>
      <c r="I186" s="27">
        <v>12.7</v>
      </c>
      <c r="J186" s="27">
        <v>92.35</v>
      </c>
      <c r="K186" s="26">
        <v>51.97</v>
      </c>
      <c r="L186" t="s">
        <v>77</v>
      </c>
      <c r="M186" t="s">
        <v>105</v>
      </c>
    </row>
    <row r="187" spans="1:13" ht="15" customHeight="1" x14ac:dyDescent="0.35">
      <c r="A187">
        <v>2022</v>
      </c>
      <c r="B187" t="s">
        <v>67</v>
      </c>
      <c r="C187" t="s">
        <v>79</v>
      </c>
      <c r="D187" t="s">
        <v>80</v>
      </c>
      <c r="E187" s="24">
        <v>41857</v>
      </c>
      <c r="F187" s="25">
        <v>71129083.790000007</v>
      </c>
      <c r="G187" s="26">
        <v>4.8600000000000003</v>
      </c>
      <c r="H187" s="26">
        <v>73.91</v>
      </c>
      <c r="I187" s="27">
        <v>45.53</v>
      </c>
      <c r="J187" s="27">
        <v>173.38</v>
      </c>
      <c r="K187" s="26">
        <v>53.59</v>
      </c>
      <c r="L187" t="s">
        <v>83</v>
      </c>
      <c r="M187" t="s">
        <v>105</v>
      </c>
    </row>
    <row r="188" spans="1:13" ht="15" customHeight="1" x14ac:dyDescent="0.35">
      <c r="A188">
        <v>2022</v>
      </c>
      <c r="B188" t="s">
        <v>67</v>
      </c>
      <c r="C188" t="s">
        <v>81</v>
      </c>
      <c r="D188" t="s">
        <v>80</v>
      </c>
      <c r="E188" s="24">
        <v>33814</v>
      </c>
      <c r="F188" s="25">
        <v>62983632.700000003</v>
      </c>
      <c r="G188" s="26">
        <v>4.5599999999999996</v>
      </c>
      <c r="H188" s="26">
        <v>57.41</v>
      </c>
      <c r="I188" s="27">
        <v>21.53</v>
      </c>
      <c r="J188" s="27">
        <v>170.67</v>
      </c>
      <c r="K188" s="26">
        <v>72.61</v>
      </c>
      <c r="L188" t="s">
        <v>83</v>
      </c>
      <c r="M188" t="s">
        <v>105</v>
      </c>
    </row>
    <row r="189" spans="1:13" ht="15" customHeight="1" x14ac:dyDescent="0.35">
      <c r="A189">
        <v>2022</v>
      </c>
      <c r="B189" t="s">
        <v>67</v>
      </c>
      <c r="C189" t="s">
        <v>82</v>
      </c>
      <c r="D189" t="s">
        <v>80</v>
      </c>
      <c r="E189" s="24">
        <v>35418</v>
      </c>
      <c r="F189" s="25">
        <v>14482116.279999999</v>
      </c>
      <c r="G189" s="26">
        <v>4.01</v>
      </c>
      <c r="H189" s="26">
        <v>91.45</v>
      </c>
      <c r="I189" s="27">
        <v>6.56</v>
      </c>
      <c r="J189" s="27">
        <v>157.75</v>
      </c>
      <c r="K189" s="26">
        <v>57.04</v>
      </c>
      <c r="L189" t="s">
        <v>83</v>
      </c>
      <c r="M189" t="s">
        <v>105</v>
      </c>
    </row>
    <row r="190" spans="1:13" ht="15" customHeight="1" x14ac:dyDescent="0.35">
      <c r="A190">
        <v>2022</v>
      </c>
      <c r="B190" t="s">
        <v>67</v>
      </c>
      <c r="C190" t="s">
        <v>84</v>
      </c>
      <c r="D190" t="s">
        <v>80</v>
      </c>
      <c r="E190" s="24">
        <v>39933</v>
      </c>
      <c r="F190" s="25">
        <v>18632947.100000001</v>
      </c>
      <c r="G190" s="26">
        <v>2.56</v>
      </c>
      <c r="H190" s="26">
        <v>91.48</v>
      </c>
      <c r="I190" s="27">
        <v>41.08</v>
      </c>
      <c r="J190" s="27">
        <v>272.72000000000003</v>
      </c>
      <c r="K190" s="26">
        <v>57.82</v>
      </c>
      <c r="L190" t="s">
        <v>83</v>
      </c>
      <c r="M190" t="s">
        <v>105</v>
      </c>
    </row>
    <row r="191" spans="1:13" ht="15" customHeight="1" x14ac:dyDescent="0.35">
      <c r="A191">
        <v>2022</v>
      </c>
      <c r="B191" t="s">
        <v>67</v>
      </c>
      <c r="C191" t="s">
        <v>85</v>
      </c>
      <c r="D191" t="s">
        <v>80</v>
      </c>
      <c r="E191" s="24">
        <v>6800</v>
      </c>
      <c r="F191" s="25">
        <v>6213699.6100000003</v>
      </c>
      <c r="G191" s="26">
        <v>6.1</v>
      </c>
      <c r="H191" s="26">
        <v>52.04</v>
      </c>
      <c r="I191" s="27">
        <v>54.21</v>
      </c>
      <c r="J191" s="27">
        <v>81.93</v>
      </c>
      <c r="K191" s="26">
        <v>52.88</v>
      </c>
      <c r="L191" t="s">
        <v>75</v>
      </c>
      <c r="M191" t="s">
        <v>105</v>
      </c>
    </row>
    <row r="192" spans="1:13" ht="15" customHeight="1" x14ac:dyDescent="0.35">
      <c r="A192">
        <v>2022</v>
      </c>
      <c r="B192" t="s">
        <v>67</v>
      </c>
      <c r="C192" t="s">
        <v>86</v>
      </c>
      <c r="D192" t="s">
        <v>80</v>
      </c>
      <c r="E192" s="24">
        <v>6787</v>
      </c>
      <c r="F192" s="25">
        <v>52571041.670000002</v>
      </c>
      <c r="G192" s="26">
        <v>4.93</v>
      </c>
      <c r="H192" s="26">
        <v>100</v>
      </c>
      <c r="I192" s="27">
        <v>29.49</v>
      </c>
      <c r="J192" s="27">
        <v>274.81</v>
      </c>
      <c r="K192" s="26">
        <v>47.7</v>
      </c>
      <c r="L192" t="s">
        <v>73</v>
      </c>
      <c r="M192" t="s">
        <v>105</v>
      </c>
    </row>
    <row r="193" spans="1:13" ht="15" customHeight="1" x14ac:dyDescent="0.35">
      <c r="A193">
        <v>2022</v>
      </c>
      <c r="B193" t="s">
        <v>67</v>
      </c>
      <c r="C193" t="s">
        <v>87</v>
      </c>
      <c r="D193" t="s">
        <v>80</v>
      </c>
      <c r="E193" s="24">
        <v>34677</v>
      </c>
      <c r="F193" s="25">
        <v>15661456.58</v>
      </c>
      <c r="G193" s="26">
        <v>6.11</v>
      </c>
      <c r="H193" s="26">
        <v>100</v>
      </c>
      <c r="I193" s="27">
        <v>48.06</v>
      </c>
      <c r="J193" s="27">
        <v>165.76</v>
      </c>
      <c r="K193" s="26">
        <v>55.31</v>
      </c>
      <c r="L193" t="s">
        <v>73</v>
      </c>
      <c r="M193" t="s">
        <v>105</v>
      </c>
    </row>
    <row r="194" spans="1:13" ht="15" customHeight="1" x14ac:dyDescent="0.35">
      <c r="A194">
        <v>2022</v>
      </c>
      <c r="B194" t="s">
        <v>67</v>
      </c>
      <c r="C194" t="s">
        <v>88</v>
      </c>
      <c r="D194" t="s">
        <v>80</v>
      </c>
      <c r="E194" s="24">
        <v>27735</v>
      </c>
      <c r="F194" s="25">
        <v>60038350.75</v>
      </c>
      <c r="G194" s="26">
        <v>6.4</v>
      </c>
      <c r="H194" s="26">
        <v>42.86</v>
      </c>
      <c r="I194" s="27">
        <v>50.44</v>
      </c>
      <c r="J194" s="27">
        <v>118.36</v>
      </c>
      <c r="K194" s="26">
        <v>80.72</v>
      </c>
      <c r="L194" t="s">
        <v>77</v>
      </c>
      <c r="M194" t="s">
        <v>105</v>
      </c>
    </row>
    <row r="195" spans="1:13" ht="15" customHeight="1" x14ac:dyDescent="0.35">
      <c r="A195">
        <v>2022</v>
      </c>
      <c r="B195" t="s">
        <v>67</v>
      </c>
      <c r="C195" t="s">
        <v>89</v>
      </c>
      <c r="D195" t="s">
        <v>80</v>
      </c>
      <c r="E195" s="24">
        <v>51810</v>
      </c>
      <c r="F195" s="25">
        <v>14517045.84</v>
      </c>
      <c r="G195" s="26">
        <v>5.73</v>
      </c>
      <c r="H195" s="26">
        <v>51.7</v>
      </c>
      <c r="I195" s="27">
        <v>7.36</v>
      </c>
      <c r="J195" s="27">
        <v>174.15</v>
      </c>
      <c r="K195" s="26">
        <v>73.56</v>
      </c>
      <c r="L195" t="s">
        <v>70</v>
      </c>
      <c r="M195" t="s">
        <v>105</v>
      </c>
    </row>
    <row r="196" spans="1:13" ht="15" customHeight="1" x14ac:dyDescent="0.35">
      <c r="A196">
        <v>2022</v>
      </c>
      <c r="B196" t="s">
        <v>67</v>
      </c>
      <c r="C196" t="s">
        <v>90</v>
      </c>
      <c r="D196" t="s">
        <v>80</v>
      </c>
      <c r="E196" s="24">
        <v>46166</v>
      </c>
      <c r="F196" s="25">
        <v>19455487.420000002</v>
      </c>
      <c r="G196" s="26">
        <v>4.54</v>
      </c>
      <c r="H196" s="26">
        <v>59.94</v>
      </c>
      <c r="I196" s="27">
        <v>13.25</v>
      </c>
      <c r="J196" s="27">
        <v>195.16</v>
      </c>
      <c r="K196" s="26">
        <v>74.459999999999994</v>
      </c>
      <c r="L196" t="s">
        <v>73</v>
      </c>
      <c r="M196" t="s">
        <v>105</v>
      </c>
    </row>
    <row r="197" spans="1:13" ht="15" customHeight="1" x14ac:dyDescent="0.35">
      <c r="A197">
        <v>2022</v>
      </c>
      <c r="B197" t="s">
        <v>91</v>
      </c>
      <c r="C197" t="s">
        <v>68</v>
      </c>
      <c r="D197" t="s">
        <v>69</v>
      </c>
      <c r="E197" s="24">
        <v>47075</v>
      </c>
      <c r="F197" s="25">
        <v>9011313.3599999994</v>
      </c>
      <c r="G197" s="26">
        <v>3.15</v>
      </c>
      <c r="H197" s="26">
        <v>87.8</v>
      </c>
      <c r="I197" s="27">
        <v>23.96</v>
      </c>
      <c r="J197" s="27">
        <v>79.959999999999994</v>
      </c>
      <c r="K197" s="26">
        <v>66.239999999999995</v>
      </c>
      <c r="L197" t="s">
        <v>73</v>
      </c>
      <c r="M197" t="s">
        <v>106</v>
      </c>
    </row>
    <row r="198" spans="1:13" ht="15" customHeight="1" x14ac:dyDescent="0.35">
      <c r="A198">
        <v>2022</v>
      </c>
      <c r="B198" t="s">
        <v>91</v>
      </c>
      <c r="C198" t="s">
        <v>72</v>
      </c>
      <c r="D198" t="s">
        <v>69</v>
      </c>
      <c r="E198" s="24">
        <v>5465</v>
      </c>
      <c r="F198" s="25">
        <v>14185149.880000001</v>
      </c>
      <c r="G198" s="26">
        <v>1.97</v>
      </c>
      <c r="H198" s="26">
        <v>73.540000000000006</v>
      </c>
      <c r="I198" s="27">
        <v>45.99</v>
      </c>
      <c r="J198" s="27">
        <v>292.18</v>
      </c>
      <c r="K198" s="26">
        <v>37.14</v>
      </c>
      <c r="L198" t="s">
        <v>77</v>
      </c>
      <c r="M198" t="s">
        <v>106</v>
      </c>
    </row>
    <row r="199" spans="1:13" ht="15" customHeight="1" x14ac:dyDescent="0.35">
      <c r="A199">
        <v>2022</v>
      </c>
      <c r="B199" t="s">
        <v>91</v>
      </c>
      <c r="C199" t="s">
        <v>74</v>
      </c>
      <c r="D199" t="s">
        <v>69</v>
      </c>
      <c r="E199" s="24">
        <v>22036</v>
      </c>
      <c r="F199" s="25">
        <v>14156370.640000001</v>
      </c>
      <c r="G199" s="26">
        <v>2.12</v>
      </c>
      <c r="H199" s="26">
        <v>60.31</v>
      </c>
      <c r="I199" s="27">
        <v>0</v>
      </c>
      <c r="J199" s="27">
        <v>298.7</v>
      </c>
      <c r="K199" s="26">
        <v>43.46</v>
      </c>
      <c r="L199" t="s">
        <v>70</v>
      </c>
      <c r="M199" t="s">
        <v>106</v>
      </c>
    </row>
    <row r="200" spans="1:13" ht="15" customHeight="1" x14ac:dyDescent="0.35">
      <c r="A200">
        <v>2022</v>
      </c>
      <c r="B200" t="s">
        <v>91</v>
      </c>
      <c r="C200" t="s">
        <v>76</v>
      </c>
      <c r="D200" t="s">
        <v>69</v>
      </c>
      <c r="E200" s="24">
        <v>31388</v>
      </c>
      <c r="F200" s="25">
        <v>15148576.49</v>
      </c>
      <c r="G200" s="26">
        <v>3.44</v>
      </c>
      <c r="H200" s="26">
        <v>67</v>
      </c>
      <c r="I200" s="27">
        <v>45.8</v>
      </c>
      <c r="J200" s="27">
        <v>92.32</v>
      </c>
      <c r="K200" s="26">
        <v>39.57</v>
      </c>
      <c r="L200" t="s">
        <v>83</v>
      </c>
      <c r="M200" t="s">
        <v>106</v>
      </c>
    </row>
    <row r="201" spans="1:13" ht="15" customHeight="1" x14ac:dyDescent="0.35">
      <c r="A201">
        <v>2022</v>
      </c>
      <c r="B201" t="s">
        <v>91</v>
      </c>
      <c r="C201" t="s">
        <v>78</v>
      </c>
      <c r="D201" t="s">
        <v>69</v>
      </c>
      <c r="E201" s="24">
        <v>33806</v>
      </c>
      <c r="F201" s="25">
        <v>23699378.710000001</v>
      </c>
      <c r="G201" s="26">
        <v>0</v>
      </c>
      <c r="H201" s="26">
        <v>77.31</v>
      </c>
      <c r="I201" s="27">
        <v>47.51</v>
      </c>
      <c r="J201" s="27">
        <v>129.69999999999999</v>
      </c>
      <c r="K201" s="26">
        <v>78.41</v>
      </c>
      <c r="L201" t="s">
        <v>77</v>
      </c>
      <c r="M201" t="s">
        <v>106</v>
      </c>
    </row>
    <row r="202" spans="1:13" ht="15" customHeight="1" x14ac:dyDescent="0.35">
      <c r="A202">
        <v>2022</v>
      </c>
      <c r="B202" t="s">
        <v>91</v>
      </c>
      <c r="C202" t="s">
        <v>79</v>
      </c>
      <c r="D202" t="s">
        <v>80</v>
      </c>
      <c r="E202" s="24">
        <v>46798</v>
      </c>
      <c r="F202" s="25">
        <v>34010964.590000004</v>
      </c>
      <c r="G202" s="26">
        <v>2.84</v>
      </c>
      <c r="H202" s="26">
        <v>95.15</v>
      </c>
      <c r="I202" s="27">
        <v>47.23</v>
      </c>
      <c r="J202" s="27">
        <v>287.88</v>
      </c>
      <c r="K202" s="26">
        <v>87.65</v>
      </c>
      <c r="L202" t="s">
        <v>75</v>
      </c>
      <c r="M202" t="s">
        <v>106</v>
      </c>
    </row>
    <row r="203" spans="1:13" ht="15" customHeight="1" x14ac:dyDescent="0.35">
      <c r="A203">
        <v>2022</v>
      </c>
      <c r="B203" t="s">
        <v>91</v>
      </c>
      <c r="C203" t="s">
        <v>81</v>
      </c>
      <c r="D203" t="s">
        <v>80</v>
      </c>
      <c r="E203" s="24">
        <v>15007</v>
      </c>
      <c r="F203" s="25">
        <v>56176071.659999996</v>
      </c>
      <c r="G203" s="26">
        <v>6.81</v>
      </c>
      <c r="H203" s="26">
        <v>83.96</v>
      </c>
      <c r="I203" s="27">
        <v>44.71</v>
      </c>
      <c r="J203" s="27">
        <v>258.98</v>
      </c>
      <c r="K203" s="26">
        <v>59.6</v>
      </c>
      <c r="L203" t="s">
        <v>73</v>
      </c>
      <c r="M203" t="s">
        <v>106</v>
      </c>
    </row>
    <row r="204" spans="1:13" ht="15" customHeight="1" x14ac:dyDescent="0.35">
      <c r="A204">
        <v>2022</v>
      </c>
      <c r="B204" t="s">
        <v>91</v>
      </c>
      <c r="C204" t="s">
        <v>82</v>
      </c>
      <c r="D204" t="s">
        <v>80</v>
      </c>
      <c r="E204" s="24">
        <v>10585</v>
      </c>
      <c r="F204" s="25">
        <v>29685804.23</v>
      </c>
      <c r="G204" s="26">
        <v>3.51</v>
      </c>
      <c r="H204" s="26">
        <v>93.42</v>
      </c>
      <c r="I204" s="27">
        <v>38.630000000000003</v>
      </c>
      <c r="J204" s="27">
        <v>171.64</v>
      </c>
      <c r="K204" s="26">
        <v>87.93</v>
      </c>
      <c r="L204" t="s">
        <v>83</v>
      </c>
      <c r="M204" t="s">
        <v>106</v>
      </c>
    </row>
    <row r="205" spans="1:13" ht="15" customHeight="1" x14ac:dyDescent="0.35">
      <c r="A205">
        <v>2022</v>
      </c>
      <c r="B205" t="s">
        <v>91</v>
      </c>
      <c r="C205" t="s">
        <v>84</v>
      </c>
      <c r="D205" t="s">
        <v>80</v>
      </c>
      <c r="E205" s="24">
        <v>10415</v>
      </c>
      <c r="F205" s="25">
        <v>16056993.77</v>
      </c>
      <c r="G205" s="26">
        <v>2.85</v>
      </c>
      <c r="H205" s="26">
        <v>87.84</v>
      </c>
      <c r="I205" s="27">
        <v>42.48</v>
      </c>
      <c r="J205" s="27">
        <v>160.24</v>
      </c>
      <c r="K205" s="26">
        <v>51.79</v>
      </c>
      <c r="L205" t="s">
        <v>70</v>
      </c>
      <c r="M205" t="s">
        <v>106</v>
      </c>
    </row>
    <row r="206" spans="1:13" ht="15" customHeight="1" x14ac:dyDescent="0.35">
      <c r="A206">
        <v>2022</v>
      </c>
      <c r="B206" t="s">
        <v>91</v>
      </c>
      <c r="C206" t="s">
        <v>85</v>
      </c>
      <c r="D206" t="s">
        <v>80</v>
      </c>
      <c r="E206" s="24">
        <v>54159</v>
      </c>
      <c r="F206" s="25">
        <v>43416974.450000003</v>
      </c>
      <c r="G206" s="26">
        <v>5.91</v>
      </c>
      <c r="H206" s="26">
        <v>100</v>
      </c>
      <c r="I206" s="27">
        <v>45.27</v>
      </c>
      <c r="J206" s="27">
        <v>232.71</v>
      </c>
      <c r="K206" s="26">
        <v>51.01</v>
      </c>
      <c r="L206" t="s">
        <v>73</v>
      </c>
      <c r="M206" t="s">
        <v>106</v>
      </c>
    </row>
    <row r="207" spans="1:13" ht="15" customHeight="1" x14ac:dyDescent="0.35">
      <c r="A207">
        <v>2022</v>
      </c>
      <c r="B207" t="s">
        <v>91</v>
      </c>
      <c r="C207" t="s">
        <v>86</v>
      </c>
      <c r="D207" t="s">
        <v>80</v>
      </c>
      <c r="E207" s="24">
        <v>17217</v>
      </c>
      <c r="F207" s="25">
        <v>31929959.75</v>
      </c>
      <c r="G207" s="26">
        <v>3.68</v>
      </c>
      <c r="H207" s="26">
        <v>41.36</v>
      </c>
      <c r="I207" s="27">
        <v>32</v>
      </c>
      <c r="J207" s="27">
        <v>291.72000000000003</v>
      </c>
      <c r="K207" s="26">
        <v>45.78</v>
      </c>
      <c r="L207" t="s">
        <v>75</v>
      </c>
      <c r="M207" t="s">
        <v>106</v>
      </c>
    </row>
    <row r="208" spans="1:13" ht="15" customHeight="1" x14ac:dyDescent="0.35">
      <c r="A208">
        <v>2022</v>
      </c>
      <c r="B208" t="s">
        <v>91</v>
      </c>
      <c r="C208" t="s">
        <v>87</v>
      </c>
      <c r="D208" t="s">
        <v>80</v>
      </c>
      <c r="E208" s="24">
        <v>53719</v>
      </c>
      <c r="F208" s="25">
        <v>15328592.42</v>
      </c>
      <c r="G208" s="26">
        <v>3.88</v>
      </c>
      <c r="H208" s="26">
        <v>79.25</v>
      </c>
      <c r="I208" s="27">
        <v>36.07</v>
      </c>
      <c r="J208" s="27">
        <v>286.49</v>
      </c>
      <c r="K208" s="26">
        <v>48.06</v>
      </c>
      <c r="L208" t="s">
        <v>77</v>
      </c>
      <c r="M208" t="s">
        <v>106</v>
      </c>
    </row>
    <row r="209" spans="1:13" ht="15" customHeight="1" x14ac:dyDescent="0.35">
      <c r="A209">
        <v>2022</v>
      </c>
      <c r="B209" t="s">
        <v>91</v>
      </c>
      <c r="C209" t="s">
        <v>88</v>
      </c>
      <c r="D209" t="s">
        <v>80</v>
      </c>
      <c r="E209" s="24">
        <v>58156</v>
      </c>
      <c r="F209" s="25">
        <v>45419753.700000003</v>
      </c>
      <c r="G209" s="26">
        <v>4.28</v>
      </c>
      <c r="H209" s="26">
        <v>88.11</v>
      </c>
      <c r="I209" s="27">
        <v>44.95</v>
      </c>
      <c r="J209" s="27">
        <v>232.59</v>
      </c>
      <c r="K209" s="26">
        <v>86.74</v>
      </c>
      <c r="L209" t="s">
        <v>75</v>
      </c>
      <c r="M209" t="s">
        <v>106</v>
      </c>
    </row>
    <row r="210" spans="1:13" ht="15" customHeight="1" x14ac:dyDescent="0.35">
      <c r="A210">
        <v>2022</v>
      </c>
      <c r="B210" t="s">
        <v>91</v>
      </c>
      <c r="C210" t="s">
        <v>89</v>
      </c>
      <c r="D210" t="s">
        <v>80</v>
      </c>
      <c r="E210" s="24">
        <v>33117</v>
      </c>
      <c r="F210" s="25">
        <v>5432435.5999999996</v>
      </c>
      <c r="G210" s="26">
        <v>6.58</v>
      </c>
      <c r="H210" s="26">
        <v>83.47</v>
      </c>
      <c r="I210" s="27">
        <v>38.520000000000003</v>
      </c>
      <c r="J210" s="27">
        <v>282.72000000000003</v>
      </c>
      <c r="K210" s="26">
        <v>86.09</v>
      </c>
      <c r="L210" t="s">
        <v>70</v>
      </c>
      <c r="M210" t="s">
        <v>106</v>
      </c>
    </row>
    <row r="211" spans="1:13" ht="15" customHeight="1" x14ac:dyDescent="0.35">
      <c r="A211">
        <v>2022</v>
      </c>
      <c r="B211" t="s">
        <v>91</v>
      </c>
      <c r="C211" t="s">
        <v>90</v>
      </c>
      <c r="D211" t="s">
        <v>80</v>
      </c>
      <c r="E211" s="24">
        <v>24948</v>
      </c>
      <c r="F211" s="25">
        <v>7564107.5800000001</v>
      </c>
      <c r="G211" s="26">
        <v>3.51</v>
      </c>
      <c r="H211" s="26">
        <v>89.68</v>
      </c>
      <c r="I211" s="27">
        <v>53.4</v>
      </c>
      <c r="J211" s="27">
        <v>284.12</v>
      </c>
      <c r="K211" s="26">
        <v>72.56</v>
      </c>
      <c r="L211" t="s">
        <v>73</v>
      </c>
      <c r="M211" t="s">
        <v>106</v>
      </c>
    </row>
    <row r="212" spans="1:13" ht="15" customHeight="1" x14ac:dyDescent="0.35">
      <c r="A212">
        <v>2022</v>
      </c>
      <c r="B212" t="s">
        <v>93</v>
      </c>
      <c r="C212" t="s">
        <v>68</v>
      </c>
      <c r="D212" t="s">
        <v>69</v>
      </c>
      <c r="E212" s="24">
        <v>10671</v>
      </c>
      <c r="F212" s="25">
        <v>9842035.3599999994</v>
      </c>
      <c r="G212" s="26">
        <v>0.25</v>
      </c>
      <c r="H212" s="26">
        <v>50.83</v>
      </c>
      <c r="I212" s="27">
        <v>26.94</v>
      </c>
      <c r="J212" s="27">
        <v>249.36</v>
      </c>
      <c r="K212" s="26">
        <v>77.13</v>
      </c>
      <c r="L212" t="s">
        <v>70</v>
      </c>
      <c r="M212" t="s">
        <v>107</v>
      </c>
    </row>
    <row r="213" spans="1:13" ht="15" customHeight="1" x14ac:dyDescent="0.35">
      <c r="A213">
        <v>2022</v>
      </c>
      <c r="B213" t="s">
        <v>93</v>
      </c>
      <c r="C213" t="s">
        <v>72</v>
      </c>
      <c r="D213" t="s">
        <v>69</v>
      </c>
      <c r="E213" s="24">
        <v>27006</v>
      </c>
      <c r="F213" s="25">
        <v>5136019.54</v>
      </c>
      <c r="G213" s="26">
        <v>0.36</v>
      </c>
      <c r="H213" s="26">
        <v>70.180000000000007</v>
      </c>
      <c r="I213" s="27">
        <v>0</v>
      </c>
      <c r="J213" s="27">
        <v>179.88</v>
      </c>
      <c r="K213" s="26">
        <v>63.62</v>
      </c>
      <c r="L213" t="s">
        <v>75</v>
      </c>
      <c r="M213" t="s">
        <v>107</v>
      </c>
    </row>
    <row r="214" spans="1:13" ht="15" customHeight="1" x14ac:dyDescent="0.35">
      <c r="A214">
        <v>2022</v>
      </c>
      <c r="B214" t="s">
        <v>93</v>
      </c>
      <c r="C214" t="s">
        <v>74</v>
      </c>
      <c r="D214" t="s">
        <v>69</v>
      </c>
      <c r="E214" s="24">
        <v>35658</v>
      </c>
      <c r="F214" s="25">
        <v>14607494.42</v>
      </c>
      <c r="G214" s="26">
        <v>1.18</v>
      </c>
      <c r="H214" s="26">
        <v>33.54</v>
      </c>
      <c r="I214" s="27">
        <v>9.9600000000000009</v>
      </c>
      <c r="J214" s="27">
        <v>232.38</v>
      </c>
      <c r="K214" s="26">
        <v>66.959999999999994</v>
      </c>
      <c r="L214" t="s">
        <v>70</v>
      </c>
      <c r="M214" t="s">
        <v>107</v>
      </c>
    </row>
    <row r="215" spans="1:13" ht="15" customHeight="1" x14ac:dyDescent="0.35">
      <c r="A215">
        <v>2022</v>
      </c>
      <c r="B215" t="s">
        <v>93</v>
      </c>
      <c r="C215" t="s">
        <v>76</v>
      </c>
      <c r="D215" t="s">
        <v>69</v>
      </c>
      <c r="E215" s="24">
        <v>8330</v>
      </c>
      <c r="F215" s="25">
        <v>26191927.649999999</v>
      </c>
      <c r="G215" s="26">
        <v>4</v>
      </c>
      <c r="H215" s="26">
        <v>73.87</v>
      </c>
      <c r="I215" s="27">
        <v>24.35</v>
      </c>
      <c r="J215" s="27">
        <v>169.49</v>
      </c>
      <c r="K215" s="26">
        <v>53.29</v>
      </c>
      <c r="L215" t="s">
        <v>77</v>
      </c>
      <c r="M215" t="s">
        <v>107</v>
      </c>
    </row>
    <row r="216" spans="1:13" ht="15" customHeight="1" x14ac:dyDescent="0.35">
      <c r="A216">
        <v>2022</v>
      </c>
      <c r="B216" t="s">
        <v>93</v>
      </c>
      <c r="C216" t="s">
        <v>78</v>
      </c>
      <c r="D216" t="s">
        <v>69</v>
      </c>
      <c r="E216" s="24">
        <v>32243</v>
      </c>
      <c r="F216" s="25">
        <v>28519800.440000001</v>
      </c>
      <c r="G216" s="26">
        <v>0.13</v>
      </c>
      <c r="H216" s="26">
        <v>27.27</v>
      </c>
      <c r="I216" s="27">
        <v>22.56</v>
      </c>
      <c r="J216" s="27">
        <v>82.24</v>
      </c>
      <c r="K216" s="26">
        <v>53.9</v>
      </c>
      <c r="L216" t="s">
        <v>77</v>
      </c>
      <c r="M216" t="s">
        <v>107</v>
      </c>
    </row>
    <row r="217" spans="1:13" ht="15" customHeight="1" x14ac:dyDescent="0.35">
      <c r="A217">
        <v>2022</v>
      </c>
      <c r="B217" t="s">
        <v>93</v>
      </c>
      <c r="C217" t="s">
        <v>79</v>
      </c>
      <c r="D217" t="s">
        <v>80</v>
      </c>
      <c r="E217" s="24">
        <v>49871</v>
      </c>
      <c r="F217" s="25">
        <v>8902985.2400000002</v>
      </c>
      <c r="G217" s="26">
        <v>6.82</v>
      </c>
      <c r="H217" s="26">
        <v>48.95</v>
      </c>
      <c r="I217" s="27">
        <v>18.68</v>
      </c>
      <c r="J217" s="27">
        <v>240.7</v>
      </c>
      <c r="K217" s="26">
        <v>53.91</v>
      </c>
      <c r="L217" t="s">
        <v>77</v>
      </c>
      <c r="M217" t="s">
        <v>107</v>
      </c>
    </row>
    <row r="218" spans="1:13" ht="15" customHeight="1" x14ac:dyDescent="0.35">
      <c r="A218">
        <v>2022</v>
      </c>
      <c r="B218" t="s">
        <v>93</v>
      </c>
      <c r="C218" t="s">
        <v>81</v>
      </c>
      <c r="D218" t="s">
        <v>80</v>
      </c>
      <c r="E218" s="24">
        <v>39287</v>
      </c>
      <c r="F218" s="25">
        <v>21438284.870000001</v>
      </c>
      <c r="G218" s="26">
        <v>4.97</v>
      </c>
      <c r="H218" s="26">
        <v>70.25</v>
      </c>
      <c r="I218" s="27">
        <v>52.39</v>
      </c>
      <c r="J218" s="27">
        <v>215.78</v>
      </c>
      <c r="K218" s="26">
        <v>74.819999999999993</v>
      </c>
      <c r="L218" t="s">
        <v>77</v>
      </c>
      <c r="M218" t="s">
        <v>107</v>
      </c>
    </row>
    <row r="219" spans="1:13" ht="15" customHeight="1" x14ac:dyDescent="0.35">
      <c r="A219">
        <v>2022</v>
      </c>
      <c r="B219" t="s">
        <v>93</v>
      </c>
      <c r="C219" t="s">
        <v>82</v>
      </c>
      <c r="D219" t="s">
        <v>80</v>
      </c>
      <c r="E219" s="24">
        <v>43668</v>
      </c>
      <c r="F219" s="25">
        <v>32615703.949999999</v>
      </c>
      <c r="G219" s="26">
        <v>3.64</v>
      </c>
      <c r="H219" s="26">
        <v>41.86</v>
      </c>
      <c r="I219" s="27">
        <v>25.87</v>
      </c>
      <c r="J219" s="27">
        <v>164.53</v>
      </c>
      <c r="K219" s="26">
        <v>62.1</v>
      </c>
      <c r="L219" t="s">
        <v>75</v>
      </c>
      <c r="M219" t="s">
        <v>107</v>
      </c>
    </row>
    <row r="220" spans="1:13" ht="15" customHeight="1" x14ac:dyDescent="0.35">
      <c r="A220">
        <v>2022</v>
      </c>
      <c r="B220" t="s">
        <v>93</v>
      </c>
      <c r="C220" t="s">
        <v>84</v>
      </c>
      <c r="D220" t="s">
        <v>80</v>
      </c>
      <c r="E220" s="24">
        <v>64883</v>
      </c>
      <c r="F220" s="25">
        <v>70601769.769999996</v>
      </c>
      <c r="G220" s="26">
        <v>4.5999999999999996</v>
      </c>
      <c r="H220" s="26">
        <v>61.16</v>
      </c>
      <c r="I220" s="27">
        <v>31.32</v>
      </c>
      <c r="J220" s="27">
        <v>154.51</v>
      </c>
      <c r="K220" s="26">
        <v>92.8</v>
      </c>
      <c r="L220" t="s">
        <v>73</v>
      </c>
      <c r="M220" t="s">
        <v>107</v>
      </c>
    </row>
    <row r="221" spans="1:13" ht="15" customHeight="1" x14ac:dyDescent="0.35">
      <c r="A221">
        <v>2022</v>
      </c>
      <c r="B221" t="s">
        <v>93</v>
      </c>
      <c r="C221" t="s">
        <v>85</v>
      </c>
      <c r="D221" t="s">
        <v>80</v>
      </c>
      <c r="E221" s="24">
        <v>29698</v>
      </c>
      <c r="F221" s="25">
        <v>9547956.3800000008</v>
      </c>
      <c r="G221" s="26">
        <v>3.14</v>
      </c>
      <c r="H221" s="26">
        <v>93.12</v>
      </c>
      <c r="I221" s="27">
        <v>34.76</v>
      </c>
      <c r="J221" s="27">
        <v>246.75</v>
      </c>
      <c r="K221" s="26">
        <v>65.459999999999994</v>
      </c>
      <c r="L221" t="s">
        <v>75</v>
      </c>
      <c r="M221" t="s">
        <v>107</v>
      </c>
    </row>
    <row r="222" spans="1:13" ht="15" customHeight="1" x14ac:dyDescent="0.35">
      <c r="A222">
        <v>2022</v>
      </c>
      <c r="B222" t="s">
        <v>93</v>
      </c>
      <c r="C222" t="s">
        <v>86</v>
      </c>
      <c r="D222" t="s">
        <v>80</v>
      </c>
      <c r="E222" s="24">
        <v>16005</v>
      </c>
      <c r="F222" s="25">
        <v>41833223.630000003</v>
      </c>
      <c r="G222" s="26">
        <v>6.71</v>
      </c>
      <c r="H222" s="26">
        <v>88.73</v>
      </c>
      <c r="I222" s="27">
        <v>39.93</v>
      </c>
      <c r="J222" s="27">
        <v>281.7</v>
      </c>
      <c r="K222" s="26">
        <v>86.82</v>
      </c>
      <c r="L222" t="s">
        <v>75</v>
      </c>
      <c r="M222" t="s">
        <v>107</v>
      </c>
    </row>
    <row r="223" spans="1:13" ht="15" customHeight="1" x14ac:dyDescent="0.35">
      <c r="A223">
        <v>2022</v>
      </c>
      <c r="B223" t="s">
        <v>93</v>
      </c>
      <c r="C223" t="s">
        <v>87</v>
      </c>
      <c r="D223" t="s">
        <v>80</v>
      </c>
      <c r="E223" s="24">
        <v>55071</v>
      </c>
      <c r="F223" s="25">
        <v>52340365.75</v>
      </c>
      <c r="G223" s="26">
        <v>3.6</v>
      </c>
      <c r="H223" s="26">
        <v>55.45</v>
      </c>
      <c r="I223" s="27">
        <v>51.49</v>
      </c>
      <c r="J223" s="27">
        <v>279.27</v>
      </c>
      <c r="K223" s="26">
        <v>73.87</v>
      </c>
      <c r="L223" t="s">
        <v>83</v>
      </c>
      <c r="M223" t="s">
        <v>107</v>
      </c>
    </row>
    <row r="224" spans="1:13" ht="15" customHeight="1" x14ac:dyDescent="0.35">
      <c r="A224">
        <v>2022</v>
      </c>
      <c r="B224" t="s">
        <v>93</v>
      </c>
      <c r="C224" t="s">
        <v>88</v>
      </c>
      <c r="D224" t="s">
        <v>80</v>
      </c>
      <c r="E224" s="24">
        <v>55853</v>
      </c>
      <c r="F224" s="25">
        <v>6813706.7300000004</v>
      </c>
      <c r="G224" s="26">
        <v>4.88</v>
      </c>
      <c r="H224" s="26">
        <v>62.85</v>
      </c>
      <c r="I224" s="27">
        <v>33.76</v>
      </c>
      <c r="J224" s="27">
        <v>63.15</v>
      </c>
      <c r="K224" s="26">
        <v>69.849999999999994</v>
      </c>
      <c r="L224" t="s">
        <v>77</v>
      </c>
      <c r="M224" t="s">
        <v>107</v>
      </c>
    </row>
    <row r="225" spans="1:13" ht="15" customHeight="1" x14ac:dyDescent="0.35">
      <c r="A225">
        <v>2022</v>
      </c>
      <c r="B225" t="s">
        <v>93</v>
      </c>
      <c r="C225" t="s">
        <v>89</v>
      </c>
      <c r="D225" t="s">
        <v>80</v>
      </c>
      <c r="E225" s="24">
        <v>47291</v>
      </c>
      <c r="F225" s="25">
        <v>19328484.68</v>
      </c>
      <c r="G225" s="26">
        <v>6.51</v>
      </c>
      <c r="H225" s="26">
        <v>100</v>
      </c>
      <c r="I225" s="27">
        <v>36.28</v>
      </c>
      <c r="J225" s="27">
        <v>222.44</v>
      </c>
      <c r="K225" s="26">
        <v>74.489999999999995</v>
      </c>
      <c r="L225" t="s">
        <v>70</v>
      </c>
      <c r="M225" t="s">
        <v>107</v>
      </c>
    </row>
    <row r="226" spans="1:13" ht="15" customHeight="1" x14ac:dyDescent="0.35">
      <c r="A226">
        <v>2022</v>
      </c>
      <c r="B226" t="s">
        <v>93</v>
      </c>
      <c r="C226" t="s">
        <v>90</v>
      </c>
      <c r="D226" t="s">
        <v>80</v>
      </c>
      <c r="E226" s="24">
        <v>30901</v>
      </c>
      <c r="F226" s="25">
        <v>11882936.57</v>
      </c>
      <c r="G226" s="26">
        <v>3.47</v>
      </c>
      <c r="H226" s="26">
        <v>95.55</v>
      </c>
      <c r="I226" s="27">
        <v>15.87</v>
      </c>
      <c r="J226" s="27">
        <v>182.47</v>
      </c>
      <c r="K226" s="26">
        <v>50.98</v>
      </c>
      <c r="L226" t="s">
        <v>70</v>
      </c>
      <c r="M226" t="s">
        <v>107</v>
      </c>
    </row>
    <row r="227" spans="1:13" ht="15" customHeight="1" x14ac:dyDescent="0.35">
      <c r="A227">
        <v>2022</v>
      </c>
      <c r="B227" t="s">
        <v>95</v>
      </c>
      <c r="C227" t="s">
        <v>68</v>
      </c>
      <c r="D227" t="s">
        <v>69</v>
      </c>
      <c r="E227" s="24">
        <v>8330</v>
      </c>
      <c r="F227" s="25">
        <v>4252116.8899999997</v>
      </c>
      <c r="G227" s="26">
        <v>2.0099999999999998</v>
      </c>
      <c r="H227" s="26">
        <v>89.2</v>
      </c>
      <c r="I227" s="27">
        <v>17.57</v>
      </c>
      <c r="J227" s="27">
        <v>213.49</v>
      </c>
      <c r="K227" s="26">
        <v>61.07</v>
      </c>
      <c r="L227" t="s">
        <v>77</v>
      </c>
      <c r="M227" t="s">
        <v>108</v>
      </c>
    </row>
    <row r="228" spans="1:13" ht="15" customHeight="1" x14ac:dyDescent="0.35">
      <c r="A228">
        <v>2022</v>
      </c>
      <c r="B228" t="s">
        <v>95</v>
      </c>
      <c r="C228" t="s">
        <v>72</v>
      </c>
      <c r="D228" t="s">
        <v>69</v>
      </c>
      <c r="E228" s="24">
        <v>16902</v>
      </c>
      <c r="F228" s="25">
        <v>45919818.68</v>
      </c>
      <c r="G228" s="26">
        <v>0</v>
      </c>
      <c r="H228" s="26">
        <v>68.67</v>
      </c>
      <c r="I228" s="27">
        <v>2.5299999999999998</v>
      </c>
      <c r="J228" s="27">
        <v>66.34</v>
      </c>
      <c r="K228" s="26">
        <v>47.23</v>
      </c>
      <c r="L228" t="s">
        <v>70</v>
      </c>
      <c r="M228" t="s">
        <v>108</v>
      </c>
    </row>
    <row r="229" spans="1:13" ht="15" customHeight="1" x14ac:dyDescent="0.35">
      <c r="A229">
        <v>2022</v>
      </c>
      <c r="B229" t="s">
        <v>95</v>
      </c>
      <c r="C229" t="s">
        <v>74</v>
      </c>
      <c r="D229" t="s">
        <v>69</v>
      </c>
      <c r="E229" s="24">
        <v>10352</v>
      </c>
      <c r="F229" s="25">
        <v>10351376.890000001</v>
      </c>
      <c r="G229" s="26">
        <v>3.16</v>
      </c>
      <c r="H229" s="26">
        <v>68.23</v>
      </c>
      <c r="I229" s="27">
        <v>24.33</v>
      </c>
      <c r="J229" s="27">
        <v>137.24</v>
      </c>
      <c r="K229" s="26">
        <v>49.71</v>
      </c>
      <c r="L229" t="s">
        <v>70</v>
      </c>
      <c r="M229" t="s">
        <v>108</v>
      </c>
    </row>
    <row r="230" spans="1:13" ht="15" customHeight="1" x14ac:dyDescent="0.35">
      <c r="A230">
        <v>2022</v>
      </c>
      <c r="B230" t="s">
        <v>95</v>
      </c>
      <c r="C230" t="s">
        <v>76</v>
      </c>
      <c r="D230" t="s">
        <v>69</v>
      </c>
      <c r="E230" s="24">
        <v>20904</v>
      </c>
      <c r="F230" s="25">
        <v>41945284.640000001</v>
      </c>
      <c r="G230" s="26">
        <v>0</v>
      </c>
      <c r="H230" s="26">
        <v>53.51</v>
      </c>
      <c r="I230" s="27">
        <v>35.450000000000003</v>
      </c>
      <c r="J230" s="27">
        <v>63.87</v>
      </c>
      <c r="K230" s="26">
        <v>78.05</v>
      </c>
      <c r="L230" t="s">
        <v>70</v>
      </c>
      <c r="M230" t="s">
        <v>108</v>
      </c>
    </row>
    <row r="231" spans="1:13" ht="15" customHeight="1" x14ac:dyDescent="0.35">
      <c r="A231">
        <v>2022</v>
      </c>
      <c r="B231" t="s">
        <v>95</v>
      </c>
      <c r="C231" t="s">
        <v>78</v>
      </c>
      <c r="D231" t="s">
        <v>69</v>
      </c>
      <c r="E231" s="24">
        <v>32799</v>
      </c>
      <c r="F231" s="25">
        <v>30084811.850000001</v>
      </c>
      <c r="G231" s="26">
        <v>0.7</v>
      </c>
      <c r="H231" s="26">
        <v>89.07</v>
      </c>
      <c r="I231" s="27">
        <v>45.08</v>
      </c>
      <c r="J231" s="27">
        <v>253.23</v>
      </c>
      <c r="K231" s="26">
        <v>61.38</v>
      </c>
      <c r="L231" t="s">
        <v>83</v>
      </c>
      <c r="M231" t="s">
        <v>108</v>
      </c>
    </row>
    <row r="232" spans="1:13" ht="15" customHeight="1" x14ac:dyDescent="0.35">
      <c r="A232">
        <v>2022</v>
      </c>
      <c r="B232" t="s">
        <v>95</v>
      </c>
      <c r="C232" t="s">
        <v>79</v>
      </c>
      <c r="D232" t="s">
        <v>80</v>
      </c>
      <c r="E232" s="24">
        <v>17884</v>
      </c>
      <c r="F232" s="25">
        <v>11319455.1</v>
      </c>
      <c r="G232" s="26">
        <v>4.18</v>
      </c>
      <c r="H232" s="26">
        <v>99.95</v>
      </c>
      <c r="I232" s="27">
        <v>7.17</v>
      </c>
      <c r="J232" s="27">
        <v>265.77999999999997</v>
      </c>
      <c r="K232" s="26">
        <v>86.45</v>
      </c>
      <c r="L232" t="s">
        <v>77</v>
      </c>
      <c r="M232" t="s">
        <v>108</v>
      </c>
    </row>
    <row r="233" spans="1:13" ht="15" customHeight="1" x14ac:dyDescent="0.35">
      <c r="A233">
        <v>2022</v>
      </c>
      <c r="B233" t="s">
        <v>95</v>
      </c>
      <c r="C233" t="s">
        <v>81</v>
      </c>
      <c r="D233" t="s">
        <v>80</v>
      </c>
      <c r="E233" s="24">
        <v>40963</v>
      </c>
      <c r="F233" s="25">
        <v>10902531.08</v>
      </c>
      <c r="G233" s="26">
        <v>2.86</v>
      </c>
      <c r="H233" s="26">
        <v>42.87</v>
      </c>
      <c r="I233" s="27">
        <v>21.56</v>
      </c>
      <c r="J233" s="27">
        <v>281.31</v>
      </c>
      <c r="K233" s="26">
        <v>81.510000000000005</v>
      </c>
      <c r="L233" t="s">
        <v>75</v>
      </c>
      <c r="M233" t="s">
        <v>108</v>
      </c>
    </row>
    <row r="234" spans="1:13" ht="15" customHeight="1" x14ac:dyDescent="0.35">
      <c r="A234">
        <v>2022</v>
      </c>
      <c r="B234" t="s">
        <v>95</v>
      </c>
      <c r="C234" t="s">
        <v>82</v>
      </c>
      <c r="D234" t="s">
        <v>80</v>
      </c>
      <c r="E234" s="24">
        <v>15691</v>
      </c>
      <c r="F234" s="25">
        <v>21823040.170000002</v>
      </c>
      <c r="G234" s="26">
        <v>3.07</v>
      </c>
      <c r="H234" s="26">
        <v>42.69</v>
      </c>
      <c r="I234" s="27">
        <v>42.69</v>
      </c>
      <c r="J234" s="27">
        <v>135.63</v>
      </c>
      <c r="K234" s="26">
        <v>72.27</v>
      </c>
      <c r="L234" t="s">
        <v>77</v>
      </c>
      <c r="M234" t="s">
        <v>108</v>
      </c>
    </row>
    <row r="235" spans="1:13" ht="15" customHeight="1" x14ac:dyDescent="0.35">
      <c r="A235">
        <v>2022</v>
      </c>
      <c r="B235" t="s">
        <v>95</v>
      </c>
      <c r="C235" t="s">
        <v>84</v>
      </c>
      <c r="D235" t="s">
        <v>80</v>
      </c>
      <c r="E235" s="24">
        <v>23653</v>
      </c>
      <c r="F235" s="25">
        <v>24085328.149999999</v>
      </c>
      <c r="G235" s="26">
        <v>5.64</v>
      </c>
      <c r="H235" s="26">
        <v>87.55</v>
      </c>
      <c r="I235" s="27">
        <v>41.3</v>
      </c>
      <c r="J235" s="27">
        <v>170.64</v>
      </c>
      <c r="K235" s="26">
        <v>46.15</v>
      </c>
      <c r="L235" t="s">
        <v>83</v>
      </c>
      <c r="M235" t="s">
        <v>108</v>
      </c>
    </row>
    <row r="236" spans="1:13" ht="15" customHeight="1" x14ac:dyDescent="0.35">
      <c r="A236">
        <v>2022</v>
      </c>
      <c r="B236" t="s">
        <v>95</v>
      </c>
      <c r="C236" t="s">
        <v>85</v>
      </c>
      <c r="D236" t="s">
        <v>80</v>
      </c>
      <c r="E236" s="24">
        <v>56264</v>
      </c>
      <c r="F236" s="25">
        <v>11515465.800000001</v>
      </c>
      <c r="G236" s="26">
        <v>3.42</v>
      </c>
      <c r="H236" s="26">
        <v>82.21</v>
      </c>
      <c r="I236" s="27">
        <v>39.950000000000003</v>
      </c>
      <c r="J236" s="27">
        <v>68.7</v>
      </c>
      <c r="K236" s="26">
        <v>94.84</v>
      </c>
      <c r="L236" t="s">
        <v>83</v>
      </c>
      <c r="M236" t="s">
        <v>108</v>
      </c>
    </row>
    <row r="237" spans="1:13" ht="15" customHeight="1" x14ac:dyDescent="0.35">
      <c r="A237">
        <v>2022</v>
      </c>
      <c r="B237" t="s">
        <v>95</v>
      </c>
      <c r="C237" t="s">
        <v>86</v>
      </c>
      <c r="D237" t="s">
        <v>80</v>
      </c>
      <c r="E237" s="24">
        <v>47629</v>
      </c>
      <c r="F237" s="25">
        <v>40258147.689999998</v>
      </c>
      <c r="G237" s="26">
        <v>2.59</v>
      </c>
      <c r="H237" s="26">
        <v>62.4</v>
      </c>
      <c r="I237" s="27">
        <v>46.2</v>
      </c>
      <c r="J237" s="27">
        <v>174.55</v>
      </c>
      <c r="K237" s="26">
        <v>88.86</v>
      </c>
      <c r="L237" t="s">
        <v>73</v>
      </c>
      <c r="M237" t="s">
        <v>108</v>
      </c>
    </row>
    <row r="238" spans="1:13" ht="15" customHeight="1" x14ac:dyDescent="0.35">
      <c r="A238">
        <v>2022</v>
      </c>
      <c r="B238" t="s">
        <v>95</v>
      </c>
      <c r="C238" t="s">
        <v>87</v>
      </c>
      <c r="D238" t="s">
        <v>80</v>
      </c>
      <c r="E238" s="24">
        <v>22829</v>
      </c>
      <c r="F238" s="25">
        <v>33124655.16</v>
      </c>
      <c r="G238" s="26">
        <v>6.4</v>
      </c>
      <c r="H238" s="26">
        <v>70.69</v>
      </c>
      <c r="I238" s="27">
        <v>26.25</v>
      </c>
      <c r="J238" s="27">
        <v>125.31</v>
      </c>
      <c r="K238" s="26">
        <v>93.2</v>
      </c>
      <c r="L238" t="s">
        <v>77</v>
      </c>
      <c r="M238" t="s">
        <v>108</v>
      </c>
    </row>
    <row r="239" spans="1:13" ht="15" customHeight="1" x14ac:dyDescent="0.35">
      <c r="A239">
        <v>2022</v>
      </c>
      <c r="B239" t="s">
        <v>95</v>
      </c>
      <c r="C239" t="s">
        <v>88</v>
      </c>
      <c r="D239" t="s">
        <v>80</v>
      </c>
      <c r="E239" s="24">
        <v>33785</v>
      </c>
      <c r="F239" s="25">
        <v>47573854.619999997</v>
      </c>
      <c r="G239" s="26">
        <v>5.64</v>
      </c>
      <c r="H239" s="26">
        <v>92.95</v>
      </c>
      <c r="I239" s="27">
        <v>33.130000000000003</v>
      </c>
      <c r="J239" s="27">
        <v>109.94</v>
      </c>
      <c r="K239" s="26">
        <v>93.28</v>
      </c>
      <c r="L239" t="s">
        <v>73</v>
      </c>
      <c r="M239" t="s">
        <v>108</v>
      </c>
    </row>
    <row r="240" spans="1:13" ht="15" customHeight="1" x14ac:dyDescent="0.35">
      <c r="A240">
        <v>2022</v>
      </c>
      <c r="B240" t="s">
        <v>95</v>
      </c>
      <c r="C240" t="s">
        <v>89</v>
      </c>
      <c r="D240" t="s">
        <v>80</v>
      </c>
      <c r="E240" s="24">
        <v>28676</v>
      </c>
      <c r="F240" s="25">
        <v>33319538.640000001</v>
      </c>
      <c r="G240" s="26">
        <v>5.17</v>
      </c>
      <c r="H240" s="26">
        <v>80.3</v>
      </c>
      <c r="I240" s="27">
        <v>30.76</v>
      </c>
      <c r="J240" s="27">
        <v>213.39</v>
      </c>
      <c r="K240" s="26">
        <v>76.2</v>
      </c>
      <c r="L240" t="s">
        <v>70</v>
      </c>
      <c r="M240" t="s">
        <v>108</v>
      </c>
    </row>
    <row r="241" spans="1:13" ht="15" customHeight="1" x14ac:dyDescent="0.35">
      <c r="A241">
        <v>2022</v>
      </c>
      <c r="B241" t="s">
        <v>95</v>
      </c>
      <c r="C241" t="s">
        <v>90</v>
      </c>
      <c r="D241" t="s">
        <v>80</v>
      </c>
      <c r="E241" s="24">
        <v>62215</v>
      </c>
      <c r="F241" s="25">
        <v>44729535.659999996</v>
      </c>
      <c r="G241" s="26">
        <v>3.04</v>
      </c>
      <c r="H241" s="26">
        <v>93.8</v>
      </c>
      <c r="I241" s="27">
        <v>38.79</v>
      </c>
      <c r="J241" s="27">
        <v>253.73</v>
      </c>
      <c r="K241" s="26">
        <v>45.63</v>
      </c>
      <c r="L241" t="s">
        <v>73</v>
      </c>
      <c r="M241" t="s">
        <v>108</v>
      </c>
    </row>
    <row r="242" spans="1:13" ht="15" customHeight="1" x14ac:dyDescent="0.35">
      <c r="A242">
        <v>2023</v>
      </c>
      <c r="B242" t="s">
        <v>67</v>
      </c>
      <c r="C242" t="s">
        <v>68</v>
      </c>
      <c r="D242" t="s">
        <v>69</v>
      </c>
      <c r="E242" s="24">
        <v>40947</v>
      </c>
      <c r="F242" s="25">
        <v>29431350.050000001</v>
      </c>
      <c r="G242" s="26">
        <v>2.29</v>
      </c>
      <c r="H242" s="26">
        <v>31.64</v>
      </c>
      <c r="I242" s="27">
        <v>20.82</v>
      </c>
      <c r="J242" s="27">
        <v>272.01</v>
      </c>
      <c r="K242" s="26">
        <v>80.790000000000006</v>
      </c>
      <c r="L242" t="s">
        <v>83</v>
      </c>
      <c r="M242" t="s">
        <v>109</v>
      </c>
    </row>
    <row r="243" spans="1:13" ht="15" customHeight="1" x14ac:dyDescent="0.35">
      <c r="A243">
        <v>2023</v>
      </c>
      <c r="B243" t="s">
        <v>67</v>
      </c>
      <c r="C243" t="s">
        <v>72</v>
      </c>
      <c r="D243" t="s">
        <v>69</v>
      </c>
      <c r="E243" s="24">
        <v>14664</v>
      </c>
      <c r="F243" s="25">
        <v>15195950.99</v>
      </c>
      <c r="G243" s="26">
        <v>1.66</v>
      </c>
      <c r="H243" s="26">
        <v>62.66</v>
      </c>
      <c r="I243" s="27">
        <v>1.47</v>
      </c>
      <c r="J243" s="27">
        <v>171.98</v>
      </c>
      <c r="K243" s="26">
        <v>74.11</v>
      </c>
      <c r="L243" t="s">
        <v>77</v>
      </c>
      <c r="M243" t="s">
        <v>109</v>
      </c>
    </row>
    <row r="244" spans="1:13" ht="15" customHeight="1" x14ac:dyDescent="0.35">
      <c r="A244">
        <v>2023</v>
      </c>
      <c r="B244" t="s">
        <v>67</v>
      </c>
      <c r="C244" t="s">
        <v>74</v>
      </c>
      <c r="D244" t="s">
        <v>69</v>
      </c>
      <c r="E244" s="24">
        <v>43817</v>
      </c>
      <c r="F244" s="25">
        <v>24176526.140000001</v>
      </c>
      <c r="G244" s="26">
        <v>2.4500000000000002</v>
      </c>
      <c r="H244" s="26">
        <v>48.62</v>
      </c>
      <c r="I244" s="27">
        <v>20.28</v>
      </c>
      <c r="J244" s="27">
        <v>175.27</v>
      </c>
      <c r="K244" s="26">
        <v>73.89</v>
      </c>
      <c r="L244" t="s">
        <v>83</v>
      </c>
      <c r="M244" t="s">
        <v>109</v>
      </c>
    </row>
    <row r="245" spans="1:13" ht="15" customHeight="1" x14ac:dyDescent="0.35">
      <c r="A245">
        <v>2023</v>
      </c>
      <c r="B245" t="s">
        <v>67</v>
      </c>
      <c r="C245" t="s">
        <v>76</v>
      </c>
      <c r="D245" t="s">
        <v>69</v>
      </c>
      <c r="E245" s="24">
        <v>41459</v>
      </c>
      <c r="F245" s="25">
        <v>13687954.880000001</v>
      </c>
      <c r="G245" s="26">
        <v>0</v>
      </c>
      <c r="H245" s="26">
        <v>62.18</v>
      </c>
      <c r="I245" s="27">
        <v>11.77</v>
      </c>
      <c r="J245" s="27">
        <v>287.5</v>
      </c>
      <c r="K245" s="26">
        <v>41.54</v>
      </c>
      <c r="L245" t="s">
        <v>73</v>
      </c>
      <c r="M245" t="s">
        <v>109</v>
      </c>
    </row>
    <row r="246" spans="1:13" ht="15" customHeight="1" x14ac:dyDescent="0.35">
      <c r="A246">
        <v>2023</v>
      </c>
      <c r="B246" t="s">
        <v>67</v>
      </c>
      <c r="C246" t="s">
        <v>78</v>
      </c>
      <c r="D246" t="s">
        <v>69</v>
      </c>
      <c r="E246" s="24">
        <v>32918</v>
      </c>
      <c r="F246" s="25">
        <v>22481075.41</v>
      </c>
      <c r="G246" s="26">
        <v>1.86</v>
      </c>
      <c r="H246" s="26">
        <v>81.72</v>
      </c>
      <c r="I246" s="27">
        <v>33.4</v>
      </c>
      <c r="J246" s="27">
        <v>108.49</v>
      </c>
      <c r="K246" s="26">
        <v>65.459999999999994</v>
      </c>
      <c r="L246" t="s">
        <v>77</v>
      </c>
      <c r="M246" t="s">
        <v>109</v>
      </c>
    </row>
    <row r="247" spans="1:13" ht="15" customHeight="1" x14ac:dyDescent="0.35">
      <c r="A247">
        <v>2023</v>
      </c>
      <c r="B247" t="s">
        <v>67</v>
      </c>
      <c r="C247" t="s">
        <v>79</v>
      </c>
      <c r="D247" t="s">
        <v>80</v>
      </c>
      <c r="E247" s="24">
        <v>42266</v>
      </c>
      <c r="F247" s="25">
        <v>25950100.260000002</v>
      </c>
      <c r="G247" s="26">
        <v>6.02</v>
      </c>
      <c r="H247" s="26">
        <v>55.39</v>
      </c>
      <c r="I247" s="27">
        <v>39.53</v>
      </c>
      <c r="J247" s="27">
        <v>262.25</v>
      </c>
      <c r="K247" s="26">
        <v>45.63</v>
      </c>
      <c r="L247" t="s">
        <v>70</v>
      </c>
      <c r="M247" t="s">
        <v>109</v>
      </c>
    </row>
    <row r="248" spans="1:13" ht="15" customHeight="1" x14ac:dyDescent="0.35">
      <c r="A248">
        <v>2023</v>
      </c>
      <c r="B248" t="s">
        <v>67</v>
      </c>
      <c r="C248" t="s">
        <v>81</v>
      </c>
      <c r="D248" t="s">
        <v>80</v>
      </c>
      <c r="E248" s="24">
        <v>35503</v>
      </c>
      <c r="F248" s="25">
        <v>31844795.27</v>
      </c>
      <c r="G248" s="26">
        <v>3.87</v>
      </c>
      <c r="H248" s="26">
        <v>85.47</v>
      </c>
      <c r="I248" s="27">
        <v>48.17</v>
      </c>
      <c r="J248" s="27">
        <v>262.83999999999997</v>
      </c>
      <c r="K248" s="26">
        <v>68</v>
      </c>
      <c r="L248" t="s">
        <v>70</v>
      </c>
      <c r="M248" t="s">
        <v>109</v>
      </c>
    </row>
    <row r="249" spans="1:13" ht="15" customHeight="1" x14ac:dyDescent="0.35">
      <c r="A249">
        <v>2023</v>
      </c>
      <c r="B249" t="s">
        <v>67</v>
      </c>
      <c r="C249" t="s">
        <v>82</v>
      </c>
      <c r="D249" t="s">
        <v>80</v>
      </c>
      <c r="E249" s="24">
        <v>47694</v>
      </c>
      <c r="F249" s="25">
        <v>18903891.32</v>
      </c>
      <c r="G249" s="26">
        <v>5.9</v>
      </c>
      <c r="H249" s="26">
        <v>62.48</v>
      </c>
      <c r="I249" s="27">
        <v>29.12</v>
      </c>
      <c r="J249" s="27">
        <v>227.77</v>
      </c>
      <c r="K249" s="26">
        <v>87.07</v>
      </c>
      <c r="L249" t="s">
        <v>83</v>
      </c>
      <c r="M249" t="s">
        <v>109</v>
      </c>
    </row>
    <row r="250" spans="1:13" ht="15" customHeight="1" x14ac:dyDescent="0.35">
      <c r="A250">
        <v>2023</v>
      </c>
      <c r="B250" t="s">
        <v>67</v>
      </c>
      <c r="C250" t="s">
        <v>84</v>
      </c>
      <c r="D250" t="s">
        <v>80</v>
      </c>
      <c r="E250" s="24">
        <v>36500</v>
      </c>
      <c r="F250" s="25">
        <v>11340925.859999999</v>
      </c>
      <c r="G250" s="26">
        <v>2.86</v>
      </c>
      <c r="H250" s="26">
        <v>98.22</v>
      </c>
      <c r="I250" s="27">
        <v>46.72</v>
      </c>
      <c r="J250" s="27">
        <v>177.9</v>
      </c>
      <c r="K250" s="26">
        <v>65.83</v>
      </c>
      <c r="L250" t="s">
        <v>70</v>
      </c>
      <c r="M250" t="s">
        <v>109</v>
      </c>
    </row>
    <row r="251" spans="1:13" ht="15" customHeight="1" x14ac:dyDescent="0.35">
      <c r="A251">
        <v>2023</v>
      </c>
      <c r="B251" t="s">
        <v>67</v>
      </c>
      <c r="C251" t="s">
        <v>85</v>
      </c>
      <c r="D251" t="s">
        <v>80</v>
      </c>
      <c r="E251" s="24">
        <v>31535</v>
      </c>
      <c r="F251" s="25">
        <v>75369161.280000001</v>
      </c>
      <c r="G251" s="26">
        <v>4.8499999999999996</v>
      </c>
      <c r="H251" s="26">
        <v>100</v>
      </c>
      <c r="I251" s="27">
        <v>6.42</v>
      </c>
      <c r="J251" s="27">
        <v>256.02999999999997</v>
      </c>
      <c r="K251" s="26">
        <v>54.7</v>
      </c>
      <c r="L251" t="s">
        <v>70</v>
      </c>
      <c r="M251" t="s">
        <v>109</v>
      </c>
    </row>
    <row r="252" spans="1:13" ht="15" customHeight="1" x14ac:dyDescent="0.35">
      <c r="A252">
        <v>2023</v>
      </c>
      <c r="B252" t="s">
        <v>67</v>
      </c>
      <c r="C252" t="s">
        <v>86</v>
      </c>
      <c r="D252" t="s">
        <v>80</v>
      </c>
      <c r="E252" s="24">
        <v>25428</v>
      </c>
      <c r="F252" s="25">
        <v>41184238.579999998</v>
      </c>
      <c r="G252" s="26">
        <v>4.9000000000000004</v>
      </c>
      <c r="H252" s="26">
        <v>78.09</v>
      </c>
      <c r="I252" s="27">
        <v>24.18</v>
      </c>
      <c r="J252" s="27">
        <v>262.01</v>
      </c>
      <c r="K252" s="26">
        <v>54.8</v>
      </c>
      <c r="L252" t="s">
        <v>77</v>
      </c>
      <c r="M252" t="s">
        <v>109</v>
      </c>
    </row>
    <row r="253" spans="1:13" ht="15" customHeight="1" x14ac:dyDescent="0.35">
      <c r="A253">
        <v>2023</v>
      </c>
      <c r="B253" t="s">
        <v>67</v>
      </c>
      <c r="C253" t="s">
        <v>87</v>
      </c>
      <c r="D253" t="s">
        <v>80</v>
      </c>
      <c r="E253" s="24">
        <v>58459</v>
      </c>
      <c r="F253" s="25">
        <v>6197608.46</v>
      </c>
      <c r="G253" s="26">
        <v>5.29</v>
      </c>
      <c r="H253" s="26">
        <v>65.56</v>
      </c>
      <c r="I253" s="27">
        <v>52.82</v>
      </c>
      <c r="J253" s="27">
        <v>231.91</v>
      </c>
      <c r="K253" s="26">
        <v>69.150000000000006</v>
      </c>
      <c r="L253" t="s">
        <v>75</v>
      </c>
      <c r="M253" t="s">
        <v>109</v>
      </c>
    </row>
    <row r="254" spans="1:13" ht="15" customHeight="1" x14ac:dyDescent="0.35">
      <c r="A254">
        <v>2023</v>
      </c>
      <c r="B254" t="s">
        <v>67</v>
      </c>
      <c r="C254" t="s">
        <v>88</v>
      </c>
      <c r="D254" t="s">
        <v>80</v>
      </c>
      <c r="E254" s="24">
        <v>39916</v>
      </c>
      <c r="F254" s="25">
        <v>30964782.02</v>
      </c>
      <c r="G254" s="26">
        <v>5.53</v>
      </c>
      <c r="H254" s="26">
        <v>47.84</v>
      </c>
      <c r="I254" s="27">
        <v>15.23</v>
      </c>
      <c r="J254" s="27">
        <v>260.8</v>
      </c>
      <c r="K254" s="26">
        <v>82.88</v>
      </c>
      <c r="L254" t="s">
        <v>75</v>
      </c>
      <c r="M254" t="s">
        <v>109</v>
      </c>
    </row>
    <row r="255" spans="1:13" ht="15" customHeight="1" x14ac:dyDescent="0.35">
      <c r="A255">
        <v>2023</v>
      </c>
      <c r="B255" t="s">
        <v>67</v>
      </c>
      <c r="C255" t="s">
        <v>89</v>
      </c>
      <c r="D255" t="s">
        <v>80</v>
      </c>
      <c r="E255" s="24">
        <v>56785</v>
      </c>
      <c r="F255" s="25">
        <v>37101918.729999997</v>
      </c>
      <c r="G255" s="26">
        <v>4.21</v>
      </c>
      <c r="H255" s="26">
        <v>67.62</v>
      </c>
      <c r="I255" s="27">
        <v>43.79</v>
      </c>
      <c r="J255" s="27">
        <v>240.21</v>
      </c>
      <c r="K255" s="26">
        <v>75.959999999999994</v>
      </c>
      <c r="L255" t="s">
        <v>70</v>
      </c>
      <c r="M255" t="s">
        <v>109</v>
      </c>
    </row>
    <row r="256" spans="1:13" ht="15" customHeight="1" x14ac:dyDescent="0.35">
      <c r="A256">
        <v>2023</v>
      </c>
      <c r="B256" t="s">
        <v>67</v>
      </c>
      <c r="C256" t="s">
        <v>90</v>
      </c>
      <c r="D256" t="s">
        <v>80</v>
      </c>
      <c r="E256" s="24">
        <v>11658</v>
      </c>
      <c r="F256" s="25">
        <v>14130688.68</v>
      </c>
      <c r="G256" s="26">
        <v>4.8099999999999996</v>
      </c>
      <c r="H256" s="26">
        <v>64.150000000000006</v>
      </c>
      <c r="I256" s="27">
        <v>50.51</v>
      </c>
      <c r="J256" s="27">
        <v>117.92</v>
      </c>
      <c r="K256" s="26">
        <v>62.56</v>
      </c>
      <c r="L256" t="s">
        <v>83</v>
      </c>
      <c r="M256" t="s">
        <v>109</v>
      </c>
    </row>
    <row r="257" spans="1:13" ht="15" customHeight="1" x14ac:dyDescent="0.35">
      <c r="A257">
        <v>2023</v>
      </c>
      <c r="B257" t="s">
        <v>91</v>
      </c>
      <c r="C257" t="s">
        <v>68</v>
      </c>
      <c r="D257" t="s">
        <v>69</v>
      </c>
      <c r="E257" s="24">
        <v>28445</v>
      </c>
      <c r="F257" s="25">
        <v>23846107.199999999</v>
      </c>
      <c r="G257" s="26">
        <v>3.99</v>
      </c>
      <c r="H257" s="26">
        <v>46.8</v>
      </c>
      <c r="I257" s="27">
        <v>37.909999999999997</v>
      </c>
      <c r="J257" s="27">
        <v>175.6</v>
      </c>
      <c r="K257" s="26">
        <v>66.599999999999994</v>
      </c>
      <c r="L257" t="s">
        <v>83</v>
      </c>
      <c r="M257" t="s">
        <v>110</v>
      </c>
    </row>
    <row r="258" spans="1:13" ht="15" customHeight="1" x14ac:dyDescent="0.35">
      <c r="A258">
        <v>2023</v>
      </c>
      <c r="B258" t="s">
        <v>91</v>
      </c>
      <c r="C258" t="s">
        <v>72</v>
      </c>
      <c r="D258" t="s">
        <v>69</v>
      </c>
      <c r="E258" s="24">
        <v>12074</v>
      </c>
      <c r="F258" s="25">
        <v>10953765.789999999</v>
      </c>
      <c r="G258" s="26">
        <v>1.67</v>
      </c>
      <c r="H258" s="26">
        <v>65.23</v>
      </c>
      <c r="I258" s="27">
        <v>47.14</v>
      </c>
      <c r="J258" s="27">
        <v>106.03</v>
      </c>
      <c r="K258" s="26">
        <v>70.52</v>
      </c>
      <c r="L258" t="s">
        <v>83</v>
      </c>
      <c r="M258" t="s">
        <v>110</v>
      </c>
    </row>
    <row r="259" spans="1:13" ht="15" customHeight="1" x14ac:dyDescent="0.35">
      <c r="A259">
        <v>2023</v>
      </c>
      <c r="B259" t="s">
        <v>91</v>
      </c>
      <c r="C259" t="s">
        <v>74</v>
      </c>
      <c r="D259" t="s">
        <v>69</v>
      </c>
      <c r="E259" s="24">
        <v>24787</v>
      </c>
      <c r="F259" s="25">
        <v>11158722.59</v>
      </c>
      <c r="G259" s="26">
        <v>2.93</v>
      </c>
      <c r="H259" s="26">
        <v>73.150000000000006</v>
      </c>
      <c r="I259" s="27">
        <v>29.28</v>
      </c>
      <c r="J259" s="27">
        <v>138</v>
      </c>
      <c r="K259" s="26">
        <v>68.94</v>
      </c>
      <c r="L259" t="s">
        <v>83</v>
      </c>
      <c r="M259" t="s">
        <v>110</v>
      </c>
    </row>
    <row r="260" spans="1:13" ht="15" customHeight="1" x14ac:dyDescent="0.35">
      <c r="A260">
        <v>2023</v>
      </c>
      <c r="B260" t="s">
        <v>91</v>
      </c>
      <c r="C260" t="s">
        <v>76</v>
      </c>
      <c r="D260" t="s">
        <v>69</v>
      </c>
      <c r="E260" s="24">
        <v>40418</v>
      </c>
      <c r="F260" s="25">
        <v>32030342.59</v>
      </c>
      <c r="G260" s="26">
        <v>1.78</v>
      </c>
      <c r="H260" s="26">
        <v>61.9</v>
      </c>
      <c r="I260" s="27">
        <v>24.69</v>
      </c>
      <c r="J260" s="27">
        <v>160.97999999999999</v>
      </c>
      <c r="K260" s="26">
        <v>45.26</v>
      </c>
      <c r="L260" t="s">
        <v>77</v>
      </c>
      <c r="M260" t="s">
        <v>110</v>
      </c>
    </row>
    <row r="261" spans="1:13" ht="15" customHeight="1" x14ac:dyDescent="0.35">
      <c r="A261">
        <v>2023</v>
      </c>
      <c r="B261" t="s">
        <v>91</v>
      </c>
      <c r="C261" t="s">
        <v>78</v>
      </c>
      <c r="D261" t="s">
        <v>69</v>
      </c>
      <c r="E261" s="24">
        <v>34655</v>
      </c>
      <c r="F261" s="25">
        <v>5500615.1399999997</v>
      </c>
      <c r="G261" s="26">
        <v>0</v>
      </c>
      <c r="H261" s="26">
        <v>36.06</v>
      </c>
      <c r="I261" s="27">
        <v>47.06</v>
      </c>
      <c r="J261" s="27">
        <v>75.69</v>
      </c>
      <c r="K261" s="26">
        <v>57.66</v>
      </c>
      <c r="L261" t="s">
        <v>75</v>
      </c>
      <c r="M261" t="s">
        <v>110</v>
      </c>
    </row>
    <row r="262" spans="1:13" ht="15" customHeight="1" x14ac:dyDescent="0.35">
      <c r="A262">
        <v>2023</v>
      </c>
      <c r="B262" t="s">
        <v>91</v>
      </c>
      <c r="C262" t="s">
        <v>79</v>
      </c>
      <c r="D262" t="s">
        <v>80</v>
      </c>
      <c r="E262" s="24">
        <v>18720</v>
      </c>
      <c r="F262" s="25">
        <v>45175723.359999999</v>
      </c>
      <c r="G262" s="26">
        <v>6.09</v>
      </c>
      <c r="H262" s="26">
        <v>77.17</v>
      </c>
      <c r="I262" s="27">
        <v>13.16</v>
      </c>
      <c r="J262" s="27">
        <v>95.71</v>
      </c>
      <c r="K262" s="26">
        <v>54.69</v>
      </c>
      <c r="L262" t="s">
        <v>73</v>
      </c>
      <c r="M262" t="s">
        <v>110</v>
      </c>
    </row>
    <row r="263" spans="1:13" ht="15" customHeight="1" x14ac:dyDescent="0.35">
      <c r="A263">
        <v>2023</v>
      </c>
      <c r="B263" t="s">
        <v>91</v>
      </c>
      <c r="C263" t="s">
        <v>81</v>
      </c>
      <c r="D263" t="s">
        <v>80</v>
      </c>
      <c r="E263" s="24">
        <v>7111</v>
      </c>
      <c r="F263" s="25">
        <v>38171299.740000002</v>
      </c>
      <c r="G263" s="26">
        <v>4.9000000000000004</v>
      </c>
      <c r="H263" s="26">
        <v>94.2</v>
      </c>
      <c r="I263" s="27">
        <v>53.26</v>
      </c>
      <c r="J263" s="27">
        <v>269.75</v>
      </c>
      <c r="K263" s="26">
        <v>52.92</v>
      </c>
      <c r="L263" t="s">
        <v>70</v>
      </c>
      <c r="M263" t="s">
        <v>110</v>
      </c>
    </row>
    <row r="264" spans="1:13" ht="15" customHeight="1" x14ac:dyDescent="0.35">
      <c r="A264">
        <v>2023</v>
      </c>
      <c r="B264" t="s">
        <v>91</v>
      </c>
      <c r="C264" t="s">
        <v>82</v>
      </c>
      <c r="D264" t="s">
        <v>80</v>
      </c>
      <c r="E264" s="24">
        <v>22044</v>
      </c>
      <c r="F264" s="25">
        <v>31012290.23</v>
      </c>
      <c r="G264" s="26">
        <v>5.12</v>
      </c>
      <c r="H264" s="26">
        <v>79.73</v>
      </c>
      <c r="I264" s="27">
        <v>37.979999999999997</v>
      </c>
      <c r="J264" s="27">
        <v>63.5</v>
      </c>
      <c r="K264" s="26">
        <v>81.510000000000005</v>
      </c>
      <c r="L264" t="s">
        <v>73</v>
      </c>
      <c r="M264" t="s">
        <v>110</v>
      </c>
    </row>
    <row r="265" spans="1:13" ht="15" customHeight="1" x14ac:dyDescent="0.35">
      <c r="A265">
        <v>2023</v>
      </c>
      <c r="B265" t="s">
        <v>91</v>
      </c>
      <c r="C265" t="s">
        <v>84</v>
      </c>
      <c r="D265" t="s">
        <v>80</v>
      </c>
      <c r="E265" s="24">
        <v>14004</v>
      </c>
      <c r="F265" s="25">
        <v>7989841.6200000001</v>
      </c>
      <c r="G265" s="26">
        <v>3.37</v>
      </c>
      <c r="H265" s="26">
        <v>86.05</v>
      </c>
      <c r="I265" s="27">
        <v>18.510000000000002</v>
      </c>
      <c r="J265" s="27">
        <v>249.43</v>
      </c>
      <c r="K265" s="26">
        <v>45.62</v>
      </c>
      <c r="L265" t="s">
        <v>77</v>
      </c>
      <c r="M265" t="s">
        <v>110</v>
      </c>
    </row>
    <row r="266" spans="1:13" ht="15" customHeight="1" x14ac:dyDescent="0.35">
      <c r="A266">
        <v>2023</v>
      </c>
      <c r="B266" t="s">
        <v>91</v>
      </c>
      <c r="C266" t="s">
        <v>85</v>
      </c>
      <c r="D266" t="s">
        <v>80</v>
      </c>
      <c r="E266" s="24">
        <v>55851</v>
      </c>
      <c r="F266" s="25">
        <v>19401460.379999999</v>
      </c>
      <c r="G266" s="26">
        <v>5.04</v>
      </c>
      <c r="H266" s="26">
        <v>98.87</v>
      </c>
      <c r="I266" s="27">
        <v>14.29</v>
      </c>
      <c r="J266" s="27">
        <v>187.41</v>
      </c>
      <c r="K266" s="26">
        <v>45.43</v>
      </c>
      <c r="L266" t="s">
        <v>73</v>
      </c>
      <c r="M266" t="s">
        <v>110</v>
      </c>
    </row>
    <row r="267" spans="1:13" ht="15" customHeight="1" x14ac:dyDescent="0.35">
      <c r="A267">
        <v>2023</v>
      </c>
      <c r="B267" t="s">
        <v>91</v>
      </c>
      <c r="C267" t="s">
        <v>86</v>
      </c>
      <c r="D267" t="s">
        <v>80</v>
      </c>
      <c r="E267" s="24">
        <v>43275</v>
      </c>
      <c r="F267" s="25">
        <v>7555516.4299999997</v>
      </c>
      <c r="G267" s="26">
        <v>4.18</v>
      </c>
      <c r="H267" s="26">
        <v>44.77</v>
      </c>
      <c r="I267" s="27">
        <v>25.77</v>
      </c>
      <c r="J267" s="27">
        <v>214.9</v>
      </c>
      <c r="K267" s="26">
        <v>48.3</v>
      </c>
      <c r="L267" t="s">
        <v>73</v>
      </c>
      <c r="M267" t="s">
        <v>110</v>
      </c>
    </row>
    <row r="268" spans="1:13" ht="15" customHeight="1" x14ac:dyDescent="0.35">
      <c r="A268">
        <v>2023</v>
      </c>
      <c r="B268" t="s">
        <v>91</v>
      </c>
      <c r="C268" t="s">
        <v>87</v>
      </c>
      <c r="D268" t="s">
        <v>80</v>
      </c>
      <c r="E268" s="24">
        <v>14970</v>
      </c>
      <c r="F268" s="25">
        <v>18515548.91</v>
      </c>
      <c r="G268" s="26">
        <v>6.32</v>
      </c>
      <c r="H268" s="26">
        <v>52.48</v>
      </c>
      <c r="I268" s="27">
        <v>25</v>
      </c>
      <c r="J268" s="27">
        <v>57.27</v>
      </c>
      <c r="K268" s="26">
        <v>51.12</v>
      </c>
      <c r="L268" t="s">
        <v>73</v>
      </c>
      <c r="M268" t="s">
        <v>110</v>
      </c>
    </row>
    <row r="269" spans="1:13" ht="15" customHeight="1" x14ac:dyDescent="0.35">
      <c r="A269">
        <v>2023</v>
      </c>
      <c r="B269" t="s">
        <v>91</v>
      </c>
      <c r="C269" t="s">
        <v>88</v>
      </c>
      <c r="D269" t="s">
        <v>80</v>
      </c>
      <c r="E269" s="24">
        <v>37850</v>
      </c>
      <c r="F269" s="25">
        <v>11674638.720000001</v>
      </c>
      <c r="G269" s="26">
        <v>6.51</v>
      </c>
      <c r="H269" s="26">
        <v>65.650000000000006</v>
      </c>
      <c r="I269" s="27">
        <v>35.799999999999997</v>
      </c>
      <c r="J269" s="27">
        <v>210.17</v>
      </c>
      <c r="K269" s="26">
        <v>70.25</v>
      </c>
      <c r="L269" t="s">
        <v>75</v>
      </c>
      <c r="M269" t="s">
        <v>110</v>
      </c>
    </row>
    <row r="270" spans="1:13" ht="15" customHeight="1" x14ac:dyDescent="0.35">
      <c r="A270">
        <v>2023</v>
      </c>
      <c r="B270" t="s">
        <v>91</v>
      </c>
      <c r="C270" t="s">
        <v>89</v>
      </c>
      <c r="D270" t="s">
        <v>80</v>
      </c>
      <c r="E270" s="24">
        <v>12105</v>
      </c>
      <c r="F270" s="25">
        <v>51838068.950000003</v>
      </c>
      <c r="G270" s="26">
        <v>5.28</v>
      </c>
      <c r="H270" s="26">
        <v>77.760000000000005</v>
      </c>
      <c r="I270" s="27">
        <v>52.15</v>
      </c>
      <c r="J270" s="27">
        <v>51.12</v>
      </c>
      <c r="K270" s="26">
        <v>86.82</v>
      </c>
      <c r="L270" t="s">
        <v>73</v>
      </c>
      <c r="M270" t="s">
        <v>110</v>
      </c>
    </row>
    <row r="271" spans="1:13" ht="15" customHeight="1" x14ac:dyDescent="0.35">
      <c r="A271">
        <v>2023</v>
      </c>
      <c r="B271" t="s">
        <v>91</v>
      </c>
      <c r="C271" t="s">
        <v>90</v>
      </c>
      <c r="D271" t="s">
        <v>80</v>
      </c>
      <c r="E271" s="24">
        <v>43400</v>
      </c>
      <c r="F271" s="25">
        <v>25193544.600000001</v>
      </c>
      <c r="G271" s="26">
        <v>2.97</v>
      </c>
      <c r="H271" s="26">
        <v>86.63</v>
      </c>
      <c r="I271" s="27">
        <v>52.81</v>
      </c>
      <c r="J271" s="27">
        <v>178.32</v>
      </c>
      <c r="K271" s="26">
        <v>45.09</v>
      </c>
      <c r="L271" t="s">
        <v>73</v>
      </c>
      <c r="M271" t="s">
        <v>110</v>
      </c>
    </row>
    <row r="272" spans="1:13" ht="15" customHeight="1" x14ac:dyDescent="0.35">
      <c r="A272">
        <v>2023</v>
      </c>
      <c r="B272" t="s">
        <v>93</v>
      </c>
      <c r="C272" t="s">
        <v>68</v>
      </c>
      <c r="D272" t="s">
        <v>69</v>
      </c>
      <c r="E272" s="24">
        <v>45735</v>
      </c>
      <c r="F272" s="25">
        <v>2987436.38</v>
      </c>
      <c r="G272" s="26">
        <v>0.26</v>
      </c>
      <c r="H272" s="26">
        <v>50.76</v>
      </c>
      <c r="I272" s="27">
        <v>9.67</v>
      </c>
      <c r="J272" s="27">
        <v>280.41000000000003</v>
      </c>
      <c r="K272" s="26">
        <v>64.86</v>
      </c>
      <c r="L272" t="s">
        <v>70</v>
      </c>
      <c r="M272" t="s">
        <v>111</v>
      </c>
    </row>
    <row r="273" spans="1:13" ht="15" customHeight="1" x14ac:dyDescent="0.35">
      <c r="A273">
        <v>2023</v>
      </c>
      <c r="B273" t="s">
        <v>93</v>
      </c>
      <c r="C273" t="s">
        <v>72</v>
      </c>
      <c r="D273" t="s">
        <v>69</v>
      </c>
      <c r="E273" s="24">
        <v>14799</v>
      </c>
      <c r="F273" s="25">
        <v>4874859.74</v>
      </c>
      <c r="G273" s="26">
        <v>3.39</v>
      </c>
      <c r="H273" s="26">
        <v>49.36</v>
      </c>
      <c r="I273" s="27">
        <v>15.58</v>
      </c>
      <c r="J273" s="27">
        <v>220.38</v>
      </c>
      <c r="K273" s="26">
        <v>51.94</v>
      </c>
      <c r="L273" t="s">
        <v>75</v>
      </c>
      <c r="M273" t="s">
        <v>111</v>
      </c>
    </row>
    <row r="274" spans="1:13" ht="15" customHeight="1" x14ac:dyDescent="0.35">
      <c r="A274">
        <v>2023</v>
      </c>
      <c r="B274" t="s">
        <v>93</v>
      </c>
      <c r="C274" t="s">
        <v>74</v>
      </c>
      <c r="D274" t="s">
        <v>69</v>
      </c>
      <c r="E274" s="24">
        <v>42940</v>
      </c>
      <c r="F274" s="25">
        <v>4424999.5</v>
      </c>
      <c r="G274" s="26">
        <v>0.59</v>
      </c>
      <c r="H274" s="26">
        <v>87.76</v>
      </c>
      <c r="I274" s="27">
        <v>46.41</v>
      </c>
      <c r="J274" s="27">
        <v>87.57</v>
      </c>
      <c r="K274" s="26">
        <v>83.22</v>
      </c>
      <c r="L274" t="s">
        <v>83</v>
      </c>
      <c r="M274" t="s">
        <v>111</v>
      </c>
    </row>
    <row r="275" spans="1:13" ht="15" customHeight="1" x14ac:dyDescent="0.35">
      <c r="A275">
        <v>2023</v>
      </c>
      <c r="B275" t="s">
        <v>93</v>
      </c>
      <c r="C275" t="s">
        <v>76</v>
      </c>
      <c r="D275" t="s">
        <v>69</v>
      </c>
      <c r="E275" s="24">
        <v>46321</v>
      </c>
      <c r="F275" s="25">
        <v>12172734.050000001</v>
      </c>
      <c r="G275" s="26">
        <v>2.5</v>
      </c>
      <c r="H275" s="26">
        <v>44.49</v>
      </c>
      <c r="I275" s="27">
        <v>12.73</v>
      </c>
      <c r="J275" s="27">
        <v>238.14</v>
      </c>
      <c r="K275" s="26">
        <v>47.82</v>
      </c>
      <c r="L275" t="s">
        <v>83</v>
      </c>
      <c r="M275" t="s">
        <v>111</v>
      </c>
    </row>
    <row r="276" spans="1:13" ht="15" customHeight="1" x14ac:dyDescent="0.35">
      <c r="A276">
        <v>2023</v>
      </c>
      <c r="B276" t="s">
        <v>93</v>
      </c>
      <c r="C276" t="s">
        <v>78</v>
      </c>
      <c r="D276" t="s">
        <v>69</v>
      </c>
      <c r="E276" s="24">
        <v>22101</v>
      </c>
      <c r="F276" s="25">
        <v>45898246.390000001</v>
      </c>
      <c r="G276" s="26">
        <v>0.35</v>
      </c>
      <c r="H276" s="26">
        <v>38.79</v>
      </c>
      <c r="I276" s="27">
        <v>27.92</v>
      </c>
      <c r="J276" s="27">
        <v>77.87</v>
      </c>
      <c r="K276" s="26">
        <v>49.98</v>
      </c>
      <c r="L276" t="s">
        <v>83</v>
      </c>
      <c r="M276" t="s">
        <v>111</v>
      </c>
    </row>
    <row r="277" spans="1:13" ht="15" customHeight="1" x14ac:dyDescent="0.35">
      <c r="A277">
        <v>2023</v>
      </c>
      <c r="B277" t="s">
        <v>93</v>
      </c>
      <c r="C277" t="s">
        <v>79</v>
      </c>
      <c r="D277" t="s">
        <v>80</v>
      </c>
      <c r="E277" s="24">
        <v>18578</v>
      </c>
      <c r="F277" s="25">
        <v>35842354.880000003</v>
      </c>
      <c r="G277" s="26">
        <v>5.27</v>
      </c>
      <c r="H277" s="26">
        <v>41.64</v>
      </c>
      <c r="I277" s="27">
        <v>13.95</v>
      </c>
      <c r="J277" s="27">
        <v>192.01</v>
      </c>
      <c r="K277" s="26">
        <v>73.64</v>
      </c>
      <c r="L277" t="s">
        <v>77</v>
      </c>
      <c r="M277" t="s">
        <v>111</v>
      </c>
    </row>
    <row r="278" spans="1:13" ht="15" customHeight="1" x14ac:dyDescent="0.35">
      <c r="A278">
        <v>2023</v>
      </c>
      <c r="B278" t="s">
        <v>93</v>
      </c>
      <c r="C278" t="s">
        <v>81</v>
      </c>
      <c r="D278" t="s">
        <v>80</v>
      </c>
      <c r="E278" s="24">
        <v>63804</v>
      </c>
      <c r="F278" s="25">
        <v>26099538.280000001</v>
      </c>
      <c r="G278" s="26">
        <v>2.5299999999999998</v>
      </c>
      <c r="H278" s="26">
        <v>49.54</v>
      </c>
      <c r="I278" s="27">
        <v>36.479999999999997</v>
      </c>
      <c r="J278" s="27">
        <v>168.21</v>
      </c>
      <c r="K278" s="26">
        <v>88.53</v>
      </c>
      <c r="L278" t="s">
        <v>77</v>
      </c>
      <c r="M278" t="s">
        <v>111</v>
      </c>
    </row>
    <row r="279" spans="1:13" ht="15" customHeight="1" x14ac:dyDescent="0.35">
      <c r="A279">
        <v>2023</v>
      </c>
      <c r="B279" t="s">
        <v>93</v>
      </c>
      <c r="C279" t="s">
        <v>82</v>
      </c>
      <c r="D279" t="s">
        <v>80</v>
      </c>
      <c r="E279" s="24">
        <v>60353</v>
      </c>
      <c r="F279" s="25">
        <v>10771600.52</v>
      </c>
      <c r="G279" s="26">
        <v>3.43</v>
      </c>
      <c r="H279" s="26">
        <v>67.709999999999994</v>
      </c>
      <c r="I279" s="27">
        <v>35.68</v>
      </c>
      <c r="J279" s="27">
        <v>79.34</v>
      </c>
      <c r="K279" s="26">
        <v>58.28</v>
      </c>
      <c r="L279" t="s">
        <v>77</v>
      </c>
      <c r="M279" t="s">
        <v>111</v>
      </c>
    </row>
    <row r="280" spans="1:13" ht="15" customHeight="1" x14ac:dyDescent="0.35">
      <c r="A280">
        <v>2023</v>
      </c>
      <c r="B280" t="s">
        <v>93</v>
      </c>
      <c r="C280" t="s">
        <v>84</v>
      </c>
      <c r="D280" t="s">
        <v>80</v>
      </c>
      <c r="E280" s="24">
        <v>56014</v>
      </c>
      <c r="F280" s="25">
        <v>38203293.829999998</v>
      </c>
      <c r="G280" s="26">
        <v>5.04</v>
      </c>
      <c r="H280" s="26">
        <v>92.55</v>
      </c>
      <c r="I280" s="27">
        <v>22.12</v>
      </c>
      <c r="J280" s="27">
        <v>50.37</v>
      </c>
      <c r="K280" s="26">
        <v>45.65</v>
      </c>
      <c r="L280" t="s">
        <v>70</v>
      </c>
      <c r="M280" t="s">
        <v>111</v>
      </c>
    </row>
    <row r="281" spans="1:13" ht="15" customHeight="1" x14ac:dyDescent="0.35">
      <c r="A281">
        <v>2023</v>
      </c>
      <c r="B281" t="s">
        <v>93</v>
      </c>
      <c r="C281" t="s">
        <v>85</v>
      </c>
      <c r="D281" t="s">
        <v>80</v>
      </c>
      <c r="E281" s="24">
        <v>30009</v>
      </c>
      <c r="F281" s="25">
        <v>27935761.68</v>
      </c>
      <c r="G281" s="26">
        <v>5.49</v>
      </c>
      <c r="H281" s="26">
        <v>48.11</v>
      </c>
      <c r="I281" s="27">
        <v>22.61</v>
      </c>
      <c r="J281" s="27">
        <v>157</v>
      </c>
      <c r="K281" s="26">
        <v>94.16</v>
      </c>
      <c r="L281" t="s">
        <v>83</v>
      </c>
      <c r="M281" t="s">
        <v>111</v>
      </c>
    </row>
    <row r="282" spans="1:13" ht="15" customHeight="1" x14ac:dyDescent="0.35">
      <c r="A282">
        <v>2023</v>
      </c>
      <c r="B282" t="s">
        <v>93</v>
      </c>
      <c r="C282" t="s">
        <v>86</v>
      </c>
      <c r="D282" t="s">
        <v>80</v>
      </c>
      <c r="E282" s="24">
        <v>11176</v>
      </c>
      <c r="F282" s="25">
        <v>41387013.969999999</v>
      </c>
      <c r="G282" s="26">
        <v>6.52</v>
      </c>
      <c r="H282" s="26">
        <v>59.53</v>
      </c>
      <c r="I282" s="27">
        <v>7.36</v>
      </c>
      <c r="J282" s="27">
        <v>246.52</v>
      </c>
      <c r="K282" s="26">
        <v>46.97</v>
      </c>
      <c r="L282" t="s">
        <v>77</v>
      </c>
      <c r="M282" t="s">
        <v>111</v>
      </c>
    </row>
    <row r="283" spans="1:13" ht="15" customHeight="1" x14ac:dyDescent="0.35">
      <c r="A283">
        <v>2023</v>
      </c>
      <c r="B283" t="s">
        <v>93</v>
      </c>
      <c r="C283" t="s">
        <v>87</v>
      </c>
      <c r="D283" t="s">
        <v>80</v>
      </c>
      <c r="E283" s="24">
        <v>35816</v>
      </c>
      <c r="F283" s="25">
        <v>11652906.140000001</v>
      </c>
      <c r="G283" s="26">
        <v>6.83</v>
      </c>
      <c r="H283" s="26">
        <v>52.51</v>
      </c>
      <c r="I283" s="27">
        <v>23.96</v>
      </c>
      <c r="J283" s="27">
        <v>85.44</v>
      </c>
      <c r="K283" s="26">
        <v>54.57</v>
      </c>
      <c r="L283" t="s">
        <v>77</v>
      </c>
      <c r="M283" t="s">
        <v>111</v>
      </c>
    </row>
    <row r="284" spans="1:13" ht="15" customHeight="1" x14ac:dyDescent="0.35">
      <c r="A284">
        <v>2023</v>
      </c>
      <c r="B284" t="s">
        <v>93</v>
      </c>
      <c r="C284" t="s">
        <v>88</v>
      </c>
      <c r="D284" t="s">
        <v>80</v>
      </c>
      <c r="E284" s="24">
        <v>51399</v>
      </c>
      <c r="F284" s="25">
        <v>42332669.409999996</v>
      </c>
      <c r="G284" s="26">
        <v>4.71</v>
      </c>
      <c r="H284" s="26">
        <v>77.37</v>
      </c>
      <c r="I284" s="27">
        <v>33.159999999999997</v>
      </c>
      <c r="J284" s="27">
        <v>212.73</v>
      </c>
      <c r="K284" s="26">
        <v>87.94</v>
      </c>
      <c r="L284" t="s">
        <v>73</v>
      </c>
      <c r="M284" t="s">
        <v>111</v>
      </c>
    </row>
    <row r="285" spans="1:13" ht="15" customHeight="1" x14ac:dyDescent="0.35">
      <c r="A285">
        <v>2023</v>
      </c>
      <c r="B285" t="s">
        <v>93</v>
      </c>
      <c r="C285" t="s">
        <v>89</v>
      </c>
      <c r="D285" t="s">
        <v>80</v>
      </c>
      <c r="E285" s="24">
        <v>25724</v>
      </c>
      <c r="F285" s="25">
        <v>4967036.62</v>
      </c>
      <c r="G285" s="26">
        <v>2.8</v>
      </c>
      <c r="H285" s="26">
        <v>100</v>
      </c>
      <c r="I285" s="27">
        <v>45.67</v>
      </c>
      <c r="J285" s="27">
        <v>52.28</v>
      </c>
      <c r="K285" s="26">
        <v>75.87</v>
      </c>
      <c r="L285" t="s">
        <v>70</v>
      </c>
      <c r="M285" t="s">
        <v>111</v>
      </c>
    </row>
    <row r="286" spans="1:13" ht="15" customHeight="1" x14ac:dyDescent="0.35">
      <c r="A286">
        <v>2023</v>
      </c>
      <c r="B286" t="s">
        <v>93</v>
      </c>
      <c r="C286" t="s">
        <v>90</v>
      </c>
      <c r="D286" t="s">
        <v>80</v>
      </c>
      <c r="E286" s="24">
        <v>19229</v>
      </c>
      <c r="F286" s="25">
        <v>37535867.520000003</v>
      </c>
      <c r="G286" s="26">
        <v>6.95</v>
      </c>
      <c r="H286" s="26">
        <v>71.89</v>
      </c>
      <c r="I286" s="27">
        <v>44.75</v>
      </c>
      <c r="J286" s="27">
        <v>122.87</v>
      </c>
      <c r="K286" s="26">
        <v>91.72</v>
      </c>
      <c r="L286" t="s">
        <v>73</v>
      </c>
      <c r="M286" t="s">
        <v>111</v>
      </c>
    </row>
    <row r="287" spans="1:13" ht="15" customHeight="1" x14ac:dyDescent="0.35">
      <c r="A287">
        <v>2023</v>
      </c>
      <c r="B287" t="s">
        <v>95</v>
      </c>
      <c r="C287" t="s">
        <v>68</v>
      </c>
      <c r="D287" t="s">
        <v>69</v>
      </c>
      <c r="E287" s="24">
        <v>40560</v>
      </c>
      <c r="F287" s="25">
        <v>10240842.15</v>
      </c>
      <c r="G287" s="26">
        <v>1.06</v>
      </c>
      <c r="H287" s="26">
        <v>40.090000000000003</v>
      </c>
      <c r="I287" s="27">
        <v>30.86</v>
      </c>
      <c r="J287" s="27">
        <v>154.81</v>
      </c>
      <c r="K287" s="26">
        <v>68.239999999999995</v>
      </c>
      <c r="L287" t="s">
        <v>77</v>
      </c>
      <c r="M287" t="s">
        <v>112</v>
      </c>
    </row>
    <row r="288" spans="1:13" ht="15" customHeight="1" x14ac:dyDescent="0.35">
      <c r="A288">
        <v>2023</v>
      </c>
      <c r="B288" t="s">
        <v>95</v>
      </c>
      <c r="C288" t="s">
        <v>72</v>
      </c>
      <c r="D288" t="s">
        <v>69</v>
      </c>
      <c r="E288" s="24">
        <v>35697</v>
      </c>
      <c r="F288" s="25">
        <v>19462564.98</v>
      </c>
      <c r="G288" s="26">
        <v>2.4900000000000002</v>
      </c>
      <c r="H288" s="26">
        <v>36.549999999999997</v>
      </c>
      <c r="I288" s="27">
        <v>36.44</v>
      </c>
      <c r="J288" s="27">
        <v>236.39</v>
      </c>
      <c r="K288" s="26">
        <v>47.11</v>
      </c>
      <c r="L288" t="s">
        <v>77</v>
      </c>
      <c r="M288" t="s">
        <v>112</v>
      </c>
    </row>
    <row r="289" spans="1:13" ht="15" customHeight="1" x14ac:dyDescent="0.35">
      <c r="A289">
        <v>2023</v>
      </c>
      <c r="B289" t="s">
        <v>95</v>
      </c>
      <c r="C289" t="s">
        <v>74</v>
      </c>
      <c r="D289" t="s">
        <v>69</v>
      </c>
      <c r="E289" s="24">
        <v>47421</v>
      </c>
      <c r="F289" s="25">
        <v>4828393.0599999996</v>
      </c>
      <c r="G289" s="26">
        <v>0.34</v>
      </c>
      <c r="H289" s="26">
        <v>69.319999999999993</v>
      </c>
      <c r="I289" s="27">
        <v>14.16</v>
      </c>
      <c r="J289" s="27">
        <v>174.21</v>
      </c>
      <c r="K289" s="26">
        <v>73.78</v>
      </c>
      <c r="L289" t="s">
        <v>73</v>
      </c>
      <c r="M289" t="s">
        <v>112</v>
      </c>
    </row>
    <row r="290" spans="1:13" ht="15" customHeight="1" x14ac:dyDescent="0.35">
      <c r="A290">
        <v>2023</v>
      </c>
      <c r="B290" t="s">
        <v>95</v>
      </c>
      <c r="C290" t="s">
        <v>76</v>
      </c>
      <c r="D290" t="s">
        <v>69</v>
      </c>
      <c r="E290" s="24">
        <v>36328</v>
      </c>
      <c r="F290" s="25">
        <v>33957658.93</v>
      </c>
      <c r="G290" s="26">
        <v>1.68</v>
      </c>
      <c r="H290" s="26">
        <v>25.34</v>
      </c>
      <c r="I290" s="27">
        <v>10.88</v>
      </c>
      <c r="J290" s="27">
        <v>248.93</v>
      </c>
      <c r="K290" s="26">
        <v>80.819999999999993</v>
      </c>
      <c r="L290" t="s">
        <v>75</v>
      </c>
      <c r="M290" t="s">
        <v>112</v>
      </c>
    </row>
    <row r="291" spans="1:13" ht="15" customHeight="1" x14ac:dyDescent="0.35">
      <c r="A291">
        <v>2023</v>
      </c>
      <c r="B291" t="s">
        <v>95</v>
      </c>
      <c r="C291" t="s">
        <v>78</v>
      </c>
      <c r="D291" t="s">
        <v>69</v>
      </c>
      <c r="E291" s="24">
        <v>7177</v>
      </c>
      <c r="F291" s="25">
        <v>12756979.869999999</v>
      </c>
      <c r="G291" s="26">
        <v>3.84</v>
      </c>
      <c r="H291" s="26">
        <v>83.21</v>
      </c>
      <c r="I291" s="27">
        <v>46.58</v>
      </c>
      <c r="J291" s="27">
        <v>244.75</v>
      </c>
      <c r="K291" s="26">
        <v>58.59</v>
      </c>
      <c r="L291" t="s">
        <v>73</v>
      </c>
      <c r="M291" t="s">
        <v>112</v>
      </c>
    </row>
    <row r="292" spans="1:13" ht="15" customHeight="1" x14ac:dyDescent="0.35">
      <c r="A292">
        <v>2023</v>
      </c>
      <c r="B292" t="s">
        <v>95</v>
      </c>
      <c r="C292" t="s">
        <v>79</v>
      </c>
      <c r="D292" t="s">
        <v>80</v>
      </c>
      <c r="E292" s="24">
        <v>26543</v>
      </c>
      <c r="F292" s="25">
        <v>22616882.710000001</v>
      </c>
      <c r="G292" s="26">
        <v>6.92</v>
      </c>
      <c r="H292" s="26">
        <v>47.63</v>
      </c>
      <c r="I292" s="27">
        <v>35.93</v>
      </c>
      <c r="J292" s="27">
        <v>142.99</v>
      </c>
      <c r="K292" s="26">
        <v>65.489999999999995</v>
      </c>
      <c r="L292" t="s">
        <v>83</v>
      </c>
      <c r="M292" t="s">
        <v>112</v>
      </c>
    </row>
    <row r="293" spans="1:13" ht="15" customHeight="1" x14ac:dyDescent="0.35">
      <c r="A293">
        <v>2023</v>
      </c>
      <c r="B293" t="s">
        <v>95</v>
      </c>
      <c r="C293" t="s">
        <v>81</v>
      </c>
      <c r="D293" t="s">
        <v>80</v>
      </c>
      <c r="E293" s="24">
        <v>56191</v>
      </c>
      <c r="F293" s="25">
        <v>12240588.060000001</v>
      </c>
      <c r="G293" s="26">
        <v>6.71</v>
      </c>
      <c r="H293" s="26">
        <v>72.16</v>
      </c>
      <c r="I293" s="27">
        <v>7.12</v>
      </c>
      <c r="J293" s="27">
        <v>152.26</v>
      </c>
      <c r="K293" s="26">
        <v>87.72</v>
      </c>
      <c r="L293" t="s">
        <v>70</v>
      </c>
      <c r="M293" t="s">
        <v>112</v>
      </c>
    </row>
    <row r="294" spans="1:13" ht="15" customHeight="1" x14ac:dyDescent="0.35">
      <c r="A294">
        <v>2023</v>
      </c>
      <c r="B294" t="s">
        <v>95</v>
      </c>
      <c r="C294" t="s">
        <v>82</v>
      </c>
      <c r="D294" t="s">
        <v>80</v>
      </c>
      <c r="E294" s="24">
        <v>31159</v>
      </c>
      <c r="F294" s="25">
        <v>41780958.789999999</v>
      </c>
      <c r="G294" s="26">
        <v>4.5599999999999996</v>
      </c>
      <c r="H294" s="26">
        <v>79.39</v>
      </c>
      <c r="I294" s="27">
        <v>20.12</v>
      </c>
      <c r="J294" s="27">
        <v>294.91000000000003</v>
      </c>
      <c r="K294" s="26">
        <v>53.57</v>
      </c>
      <c r="L294" t="s">
        <v>75</v>
      </c>
      <c r="M294" t="s">
        <v>112</v>
      </c>
    </row>
    <row r="295" spans="1:13" ht="15" customHeight="1" x14ac:dyDescent="0.35">
      <c r="A295">
        <v>2023</v>
      </c>
      <c r="B295" t="s">
        <v>95</v>
      </c>
      <c r="C295" t="s">
        <v>84</v>
      </c>
      <c r="D295" t="s">
        <v>80</v>
      </c>
      <c r="E295" s="24">
        <v>61064</v>
      </c>
      <c r="F295" s="25">
        <v>65387195.350000001</v>
      </c>
      <c r="G295" s="26">
        <v>5.49</v>
      </c>
      <c r="H295" s="26">
        <v>85.64</v>
      </c>
      <c r="I295" s="27">
        <v>26.68</v>
      </c>
      <c r="J295" s="27">
        <v>170.74</v>
      </c>
      <c r="K295" s="26">
        <v>59.27</v>
      </c>
      <c r="L295" t="s">
        <v>70</v>
      </c>
      <c r="M295" t="s">
        <v>112</v>
      </c>
    </row>
    <row r="296" spans="1:13" ht="15" customHeight="1" x14ac:dyDescent="0.35">
      <c r="A296">
        <v>2023</v>
      </c>
      <c r="B296" t="s">
        <v>95</v>
      </c>
      <c r="C296" t="s">
        <v>85</v>
      </c>
      <c r="D296" t="s">
        <v>80</v>
      </c>
      <c r="E296" s="24">
        <v>34138</v>
      </c>
      <c r="F296" s="25">
        <v>54539172.82</v>
      </c>
      <c r="G296" s="26">
        <v>5.92</v>
      </c>
      <c r="H296" s="26">
        <v>98.31</v>
      </c>
      <c r="I296" s="27">
        <v>21.34</v>
      </c>
      <c r="J296" s="27">
        <v>195.17</v>
      </c>
      <c r="K296" s="26">
        <v>79.73</v>
      </c>
      <c r="L296" t="s">
        <v>70</v>
      </c>
      <c r="M296" t="s">
        <v>112</v>
      </c>
    </row>
    <row r="297" spans="1:13" ht="15" customHeight="1" x14ac:dyDescent="0.35">
      <c r="A297">
        <v>2023</v>
      </c>
      <c r="B297" t="s">
        <v>95</v>
      </c>
      <c r="C297" t="s">
        <v>86</v>
      </c>
      <c r="D297" t="s">
        <v>80</v>
      </c>
      <c r="E297" s="24">
        <v>36216</v>
      </c>
      <c r="F297" s="25">
        <v>29959374.23</v>
      </c>
      <c r="G297" s="26">
        <v>3.82</v>
      </c>
      <c r="H297" s="26">
        <v>70.59</v>
      </c>
      <c r="I297" s="27">
        <v>46.92</v>
      </c>
      <c r="J297" s="27">
        <v>177.43</v>
      </c>
      <c r="K297" s="26">
        <v>63.86</v>
      </c>
      <c r="L297" t="s">
        <v>73</v>
      </c>
      <c r="M297" t="s">
        <v>112</v>
      </c>
    </row>
    <row r="298" spans="1:13" ht="15" customHeight="1" x14ac:dyDescent="0.35">
      <c r="A298">
        <v>2023</v>
      </c>
      <c r="B298" t="s">
        <v>95</v>
      </c>
      <c r="C298" t="s">
        <v>87</v>
      </c>
      <c r="D298" t="s">
        <v>80</v>
      </c>
      <c r="E298" s="24">
        <v>56470</v>
      </c>
      <c r="F298" s="25">
        <v>29368072.66</v>
      </c>
      <c r="G298" s="26">
        <v>5.15</v>
      </c>
      <c r="H298" s="26">
        <v>71.88</v>
      </c>
      <c r="I298" s="27">
        <v>21.15</v>
      </c>
      <c r="J298" s="27">
        <v>192.3</v>
      </c>
      <c r="K298" s="26">
        <v>46.87</v>
      </c>
      <c r="L298" t="s">
        <v>77</v>
      </c>
      <c r="M298" t="s">
        <v>112</v>
      </c>
    </row>
    <row r="299" spans="1:13" ht="15" customHeight="1" x14ac:dyDescent="0.35">
      <c r="A299">
        <v>2023</v>
      </c>
      <c r="B299" t="s">
        <v>95</v>
      </c>
      <c r="C299" t="s">
        <v>88</v>
      </c>
      <c r="D299" t="s">
        <v>80</v>
      </c>
      <c r="E299" s="24">
        <v>50544</v>
      </c>
      <c r="F299" s="25">
        <v>43782286.43</v>
      </c>
      <c r="G299" s="26">
        <v>4.6399999999999997</v>
      </c>
      <c r="H299" s="26">
        <v>96.7</v>
      </c>
      <c r="I299" s="27">
        <v>13.78</v>
      </c>
      <c r="J299" s="27">
        <v>184.26</v>
      </c>
      <c r="K299" s="26">
        <v>51.56</v>
      </c>
      <c r="L299" t="s">
        <v>77</v>
      </c>
      <c r="M299" t="s">
        <v>112</v>
      </c>
    </row>
    <row r="300" spans="1:13" ht="15" customHeight="1" x14ac:dyDescent="0.35">
      <c r="A300">
        <v>2023</v>
      </c>
      <c r="B300" t="s">
        <v>95</v>
      </c>
      <c r="C300" t="s">
        <v>89</v>
      </c>
      <c r="D300" t="s">
        <v>80</v>
      </c>
      <c r="E300" s="24">
        <v>8752</v>
      </c>
      <c r="F300" s="25">
        <v>38989375.219999999</v>
      </c>
      <c r="G300" s="26">
        <v>2.66</v>
      </c>
      <c r="H300" s="26">
        <v>83.21</v>
      </c>
      <c r="I300" s="27">
        <v>28.99</v>
      </c>
      <c r="J300" s="27">
        <v>286.82</v>
      </c>
      <c r="K300" s="26">
        <v>62.63</v>
      </c>
      <c r="L300" t="s">
        <v>83</v>
      </c>
      <c r="M300" t="s">
        <v>112</v>
      </c>
    </row>
    <row r="301" spans="1:13" ht="15" customHeight="1" x14ac:dyDescent="0.35">
      <c r="A301">
        <v>2023</v>
      </c>
      <c r="B301" t="s">
        <v>95</v>
      </c>
      <c r="C301" t="s">
        <v>90</v>
      </c>
      <c r="D301" t="s">
        <v>80</v>
      </c>
      <c r="E301" s="24">
        <v>52161</v>
      </c>
      <c r="F301" s="25">
        <v>28251610.309999999</v>
      </c>
      <c r="G301" s="26">
        <v>4.47</v>
      </c>
      <c r="H301" s="26">
        <v>63.99</v>
      </c>
      <c r="I301" s="27">
        <v>48.56</v>
      </c>
      <c r="J301" s="27">
        <v>255.02</v>
      </c>
      <c r="K301" s="26">
        <v>48.38</v>
      </c>
      <c r="L301" t="s">
        <v>75</v>
      </c>
      <c r="M301" t="s">
        <v>112</v>
      </c>
    </row>
    <row r="302" spans="1:13" ht="15" customHeight="1" x14ac:dyDescent="0.35">
      <c r="A302">
        <v>2024</v>
      </c>
      <c r="B302" t="s">
        <v>67</v>
      </c>
      <c r="C302" t="s">
        <v>68</v>
      </c>
      <c r="D302" t="s">
        <v>69</v>
      </c>
      <c r="E302" s="24">
        <v>37131</v>
      </c>
      <c r="F302" s="25">
        <v>45587127.689999998</v>
      </c>
      <c r="G302" s="26">
        <v>0.59</v>
      </c>
      <c r="H302" s="26">
        <v>83.06</v>
      </c>
      <c r="I302" s="27">
        <v>0.34</v>
      </c>
      <c r="J302" s="27">
        <v>274.2</v>
      </c>
      <c r="K302" s="26">
        <v>42.93</v>
      </c>
      <c r="L302" t="s">
        <v>77</v>
      </c>
      <c r="M302" t="s">
        <v>113</v>
      </c>
    </row>
    <row r="303" spans="1:13" ht="15" customHeight="1" x14ac:dyDescent="0.35">
      <c r="A303">
        <v>2024</v>
      </c>
      <c r="B303" t="s">
        <v>67</v>
      </c>
      <c r="C303" t="s">
        <v>72</v>
      </c>
      <c r="D303" t="s">
        <v>69</v>
      </c>
      <c r="E303" s="24">
        <v>22947</v>
      </c>
      <c r="F303" s="25">
        <v>10581556.07</v>
      </c>
      <c r="G303" s="26">
        <v>2.0299999999999998</v>
      </c>
      <c r="H303" s="26">
        <v>51.05</v>
      </c>
      <c r="I303" s="27">
        <v>13.99</v>
      </c>
      <c r="J303" s="27">
        <v>62.01</v>
      </c>
      <c r="K303" s="26">
        <v>43.39</v>
      </c>
      <c r="L303" t="s">
        <v>83</v>
      </c>
      <c r="M303" t="s">
        <v>113</v>
      </c>
    </row>
    <row r="304" spans="1:13" ht="15" customHeight="1" x14ac:dyDescent="0.35">
      <c r="A304">
        <v>2024</v>
      </c>
      <c r="B304" t="s">
        <v>67</v>
      </c>
      <c r="C304" t="s">
        <v>74</v>
      </c>
      <c r="D304" t="s">
        <v>69</v>
      </c>
      <c r="E304" s="24">
        <v>32783</v>
      </c>
      <c r="F304" s="25">
        <v>24954402.68</v>
      </c>
      <c r="G304" s="26">
        <v>0</v>
      </c>
      <c r="H304" s="26">
        <v>68.38</v>
      </c>
      <c r="I304" s="27">
        <v>18.52</v>
      </c>
      <c r="J304" s="27">
        <v>165.62</v>
      </c>
      <c r="K304" s="26">
        <v>84.08</v>
      </c>
      <c r="L304" t="s">
        <v>70</v>
      </c>
      <c r="M304" t="s">
        <v>113</v>
      </c>
    </row>
    <row r="305" spans="1:13" ht="15" customHeight="1" x14ac:dyDescent="0.35">
      <c r="A305">
        <v>2024</v>
      </c>
      <c r="B305" t="s">
        <v>67</v>
      </c>
      <c r="C305" t="s">
        <v>76</v>
      </c>
      <c r="D305" t="s">
        <v>69</v>
      </c>
      <c r="E305" s="24">
        <v>11825</v>
      </c>
      <c r="F305" s="25">
        <v>26416166.620000001</v>
      </c>
      <c r="G305" s="26">
        <v>3.72</v>
      </c>
      <c r="H305" s="26">
        <v>48.75</v>
      </c>
      <c r="I305" s="27">
        <v>13.42</v>
      </c>
      <c r="J305" s="27">
        <v>267.68</v>
      </c>
      <c r="K305" s="26">
        <v>82.48</v>
      </c>
      <c r="L305" t="s">
        <v>70</v>
      </c>
      <c r="M305" t="s">
        <v>113</v>
      </c>
    </row>
    <row r="306" spans="1:13" ht="15" customHeight="1" x14ac:dyDescent="0.35">
      <c r="A306">
        <v>2024</v>
      </c>
      <c r="B306" t="s">
        <v>67</v>
      </c>
      <c r="C306" t="s">
        <v>78</v>
      </c>
      <c r="D306" t="s">
        <v>69</v>
      </c>
      <c r="E306" s="24">
        <v>11094</v>
      </c>
      <c r="F306" s="25">
        <v>32422221.329999998</v>
      </c>
      <c r="G306" s="26">
        <v>2.75</v>
      </c>
      <c r="H306" s="26">
        <v>69.33</v>
      </c>
      <c r="I306" s="27">
        <v>8.1999999999999993</v>
      </c>
      <c r="J306" s="27">
        <v>259.14999999999998</v>
      </c>
      <c r="K306" s="26">
        <v>73.14</v>
      </c>
      <c r="L306" t="s">
        <v>75</v>
      </c>
      <c r="M306" t="s">
        <v>113</v>
      </c>
    </row>
    <row r="307" spans="1:13" ht="15" customHeight="1" x14ac:dyDescent="0.35">
      <c r="A307">
        <v>2024</v>
      </c>
      <c r="B307" t="s">
        <v>67</v>
      </c>
      <c r="C307" t="s">
        <v>79</v>
      </c>
      <c r="D307" t="s">
        <v>80</v>
      </c>
      <c r="E307" s="24">
        <v>54883</v>
      </c>
      <c r="F307" s="25">
        <v>29105714.760000002</v>
      </c>
      <c r="G307" s="26">
        <v>6.45</v>
      </c>
      <c r="H307" s="26">
        <v>41.13</v>
      </c>
      <c r="I307" s="27">
        <v>51.34</v>
      </c>
      <c r="J307" s="27">
        <v>117.64</v>
      </c>
      <c r="K307" s="26">
        <v>58.15</v>
      </c>
      <c r="L307" t="s">
        <v>77</v>
      </c>
      <c r="M307" t="s">
        <v>113</v>
      </c>
    </row>
    <row r="308" spans="1:13" ht="15" customHeight="1" x14ac:dyDescent="0.35">
      <c r="A308">
        <v>2024</v>
      </c>
      <c r="B308" t="s">
        <v>67</v>
      </c>
      <c r="C308" t="s">
        <v>81</v>
      </c>
      <c r="D308" t="s">
        <v>80</v>
      </c>
      <c r="E308" s="24">
        <v>31220</v>
      </c>
      <c r="F308" s="25">
        <v>36722606.380000003</v>
      </c>
      <c r="G308" s="26">
        <v>6.53</v>
      </c>
      <c r="H308" s="26">
        <v>40.51</v>
      </c>
      <c r="I308" s="27">
        <v>32.24</v>
      </c>
      <c r="J308" s="27">
        <v>130.35</v>
      </c>
      <c r="K308" s="26">
        <v>80.87</v>
      </c>
      <c r="L308" t="s">
        <v>73</v>
      </c>
      <c r="M308" t="s">
        <v>113</v>
      </c>
    </row>
    <row r="309" spans="1:13" ht="15" customHeight="1" x14ac:dyDescent="0.35">
      <c r="A309">
        <v>2024</v>
      </c>
      <c r="B309" t="s">
        <v>67</v>
      </c>
      <c r="C309" t="s">
        <v>82</v>
      </c>
      <c r="D309" t="s">
        <v>80</v>
      </c>
      <c r="E309" s="24">
        <v>11255</v>
      </c>
      <c r="F309" s="25">
        <v>40448789.530000001</v>
      </c>
      <c r="G309" s="26">
        <v>6.91</v>
      </c>
      <c r="H309" s="26">
        <v>69.89</v>
      </c>
      <c r="I309" s="27">
        <v>14.95</v>
      </c>
      <c r="J309" s="27">
        <v>211</v>
      </c>
      <c r="K309" s="26">
        <v>67.67</v>
      </c>
      <c r="L309" t="s">
        <v>77</v>
      </c>
      <c r="M309" t="s">
        <v>113</v>
      </c>
    </row>
    <row r="310" spans="1:13" ht="15" customHeight="1" x14ac:dyDescent="0.35">
      <c r="A310">
        <v>2024</v>
      </c>
      <c r="B310" t="s">
        <v>67</v>
      </c>
      <c r="C310" t="s">
        <v>84</v>
      </c>
      <c r="D310" t="s">
        <v>80</v>
      </c>
      <c r="E310" s="24">
        <v>62968</v>
      </c>
      <c r="F310" s="25">
        <v>36037742.340000004</v>
      </c>
      <c r="G310" s="26">
        <v>3.27</v>
      </c>
      <c r="H310" s="26">
        <v>91.81</v>
      </c>
      <c r="I310" s="27">
        <v>35.090000000000003</v>
      </c>
      <c r="J310" s="27">
        <v>236.61</v>
      </c>
      <c r="K310" s="26">
        <v>93.38</v>
      </c>
      <c r="L310" t="s">
        <v>75</v>
      </c>
      <c r="M310" t="s">
        <v>113</v>
      </c>
    </row>
    <row r="311" spans="1:13" ht="15" customHeight="1" x14ac:dyDescent="0.35">
      <c r="A311">
        <v>2024</v>
      </c>
      <c r="B311" t="s">
        <v>67</v>
      </c>
      <c r="C311" t="s">
        <v>85</v>
      </c>
      <c r="D311" t="s">
        <v>80</v>
      </c>
      <c r="E311" s="24">
        <v>57073</v>
      </c>
      <c r="F311" s="25">
        <v>27851665.91</v>
      </c>
      <c r="G311" s="26">
        <v>2.61</v>
      </c>
      <c r="H311" s="26">
        <v>66.33</v>
      </c>
      <c r="I311" s="27">
        <v>8.11</v>
      </c>
      <c r="J311" s="27">
        <v>196.33</v>
      </c>
      <c r="K311" s="26">
        <v>89.62</v>
      </c>
      <c r="L311" t="s">
        <v>73</v>
      </c>
      <c r="M311" t="s">
        <v>113</v>
      </c>
    </row>
    <row r="312" spans="1:13" ht="15" customHeight="1" x14ac:dyDescent="0.35">
      <c r="A312">
        <v>2024</v>
      </c>
      <c r="B312" t="s">
        <v>67</v>
      </c>
      <c r="C312" t="s">
        <v>86</v>
      </c>
      <c r="D312" t="s">
        <v>80</v>
      </c>
      <c r="E312" s="24">
        <v>43911</v>
      </c>
      <c r="F312" s="25">
        <v>45501962.539999999</v>
      </c>
      <c r="G312" s="26">
        <v>4.21</v>
      </c>
      <c r="H312" s="26">
        <v>45.54</v>
      </c>
      <c r="I312" s="27">
        <v>47.18</v>
      </c>
      <c r="J312" s="27">
        <v>293.87</v>
      </c>
      <c r="K312" s="26">
        <v>46.55</v>
      </c>
      <c r="L312" t="s">
        <v>83</v>
      </c>
      <c r="M312" t="s">
        <v>113</v>
      </c>
    </row>
    <row r="313" spans="1:13" ht="15" customHeight="1" x14ac:dyDescent="0.35">
      <c r="A313">
        <v>2024</v>
      </c>
      <c r="B313" t="s">
        <v>67</v>
      </c>
      <c r="C313" t="s">
        <v>87</v>
      </c>
      <c r="D313" t="s">
        <v>80</v>
      </c>
      <c r="E313" s="24">
        <v>6628</v>
      </c>
      <c r="F313" s="25">
        <v>36995468.590000004</v>
      </c>
      <c r="G313" s="26">
        <v>4.8099999999999996</v>
      </c>
      <c r="H313" s="26">
        <v>93.86</v>
      </c>
      <c r="I313" s="27">
        <v>26.43</v>
      </c>
      <c r="J313" s="27">
        <v>157.51</v>
      </c>
      <c r="K313" s="26">
        <v>45.53</v>
      </c>
      <c r="L313" t="s">
        <v>83</v>
      </c>
      <c r="M313" t="s">
        <v>113</v>
      </c>
    </row>
    <row r="314" spans="1:13" ht="15" customHeight="1" x14ac:dyDescent="0.35">
      <c r="A314">
        <v>2024</v>
      </c>
      <c r="B314" t="s">
        <v>67</v>
      </c>
      <c r="C314" t="s">
        <v>88</v>
      </c>
      <c r="D314" t="s">
        <v>80</v>
      </c>
      <c r="E314" s="24">
        <v>54366</v>
      </c>
      <c r="F314" s="25">
        <v>58337180.299999997</v>
      </c>
      <c r="G314" s="26">
        <v>2.87</v>
      </c>
      <c r="H314" s="26">
        <v>90.7</v>
      </c>
      <c r="I314" s="27">
        <v>13.54</v>
      </c>
      <c r="J314" s="27">
        <v>83.75</v>
      </c>
      <c r="K314" s="26">
        <v>56.88</v>
      </c>
      <c r="L314" t="s">
        <v>70</v>
      </c>
      <c r="M314" t="s">
        <v>113</v>
      </c>
    </row>
    <row r="315" spans="1:13" ht="15" customHeight="1" x14ac:dyDescent="0.35">
      <c r="A315">
        <v>2024</v>
      </c>
      <c r="B315" t="s">
        <v>67</v>
      </c>
      <c r="C315" t="s">
        <v>89</v>
      </c>
      <c r="D315" t="s">
        <v>80</v>
      </c>
      <c r="E315" s="24">
        <v>43162</v>
      </c>
      <c r="F315" s="25">
        <v>43400860.600000001</v>
      </c>
      <c r="G315" s="26">
        <v>3.11</v>
      </c>
      <c r="H315" s="26">
        <v>73.38</v>
      </c>
      <c r="I315" s="27">
        <v>46.43</v>
      </c>
      <c r="J315" s="27">
        <v>195.74</v>
      </c>
      <c r="K315" s="26">
        <v>49.58</v>
      </c>
      <c r="L315" t="s">
        <v>75</v>
      </c>
      <c r="M315" t="s">
        <v>113</v>
      </c>
    </row>
    <row r="316" spans="1:13" ht="15" customHeight="1" x14ac:dyDescent="0.35">
      <c r="A316">
        <v>2024</v>
      </c>
      <c r="B316" t="s">
        <v>67</v>
      </c>
      <c r="C316" t="s">
        <v>90</v>
      </c>
      <c r="D316" t="s">
        <v>80</v>
      </c>
      <c r="E316" s="24">
        <v>24624</v>
      </c>
      <c r="F316" s="25">
        <v>36547057.850000001</v>
      </c>
      <c r="G316" s="26">
        <v>6.92</v>
      </c>
      <c r="H316" s="26">
        <v>54.55</v>
      </c>
      <c r="I316" s="27">
        <v>50.77</v>
      </c>
      <c r="J316" s="27">
        <v>120.07</v>
      </c>
      <c r="K316" s="26">
        <v>50.72</v>
      </c>
      <c r="L316" t="s">
        <v>77</v>
      </c>
      <c r="M316" t="s">
        <v>113</v>
      </c>
    </row>
    <row r="317" spans="1:13" ht="15" customHeight="1" x14ac:dyDescent="0.35">
      <c r="A317">
        <v>2024</v>
      </c>
      <c r="B317" t="s">
        <v>91</v>
      </c>
      <c r="C317" t="s">
        <v>68</v>
      </c>
      <c r="D317" t="s">
        <v>69</v>
      </c>
      <c r="E317" s="24">
        <v>26237</v>
      </c>
      <c r="F317" s="25">
        <v>30930455.539999999</v>
      </c>
      <c r="G317" s="26">
        <v>2.72</v>
      </c>
      <c r="H317" s="26">
        <v>30.37</v>
      </c>
      <c r="I317" s="27">
        <v>43.72</v>
      </c>
      <c r="J317" s="27">
        <v>205.74</v>
      </c>
      <c r="K317" s="26">
        <v>48.09</v>
      </c>
      <c r="L317" t="s">
        <v>75</v>
      </c>
      <c r="M317" t="s">
        <v>114</v>
      </c>
    </row>
    <row r="318" spans="1:13" ht="15" customHeight="1" x14ac:dyDescent="0.35">
      <c r="A318">
        <v>2024</v>
      </c>
      <c r="B318" t="s">
        <v>91</v>
      </c>
      <c r="C318" t="s">
        <v>72</v>
      </c>
      <c r="D318" t="s">
        <v>69</v>
      </c>
      <c r="E318" s="24">
        <v>22269</v>
      </c>
      <c r="F318" s="25">
        <v>16275671.49</v>
      </c>
      <c r="G318" s="26">
        <v>2.2400000000000002</v>
      </c>
      <c r="H318" s="26">
        <v>67.36</v>
      </c>
      <c r="I318" s="27">
        <v>2.27</v>
      </c>
      <c r="J318" s="27">
        <v>216.59</v>
      </c>
      <c r="K318" s="26">
        <v>73.239999999999995</v>
      </c>
      <c r="L318" t="s">
        <v>77</v>
      </c>
      <c r="M318" t="s">
        <v>114</v>
      </c>
    </row>
    <row r="319" spans="1:13" ht="15" customHeight="1" x14ac:dyDescent="0.35">
      <c r="A319">
        <v>2024</v>
      </c>
      <c r="B319" t="s">
        <v>91</v>
      </c>
      <c r="C319" t="s">
        <v>74</v>
      </c>
      <c r="D319" t="s">
        <v>69</v>
      </c>
      <c r="E319" s="24">
        <v>27314</v>
      </c>
      <c r="F319" s="25">
        <v>25415808.77</v>
      </c>
      <c r="G319" s="26">
        <v>0.48</v>
      </c>
      <c r="H319" s="26">
        <v>88.91</v>
      </c>
      <c r="I319" s="27">
        <v>13.08</v>
      </c>
      <c r="J319" s="27">
        <v>84.12</v>
      </c>
      <c r="K319" s="26">
        <v>40.119999999999997</v>
      </c>
      <c r="L319" t="s">
        <v>83</v>
      </c>
      <c r="M319" t="s">
        <v>114</v>
      </c>
    </row>
    <row r="320" spans="1:13" ht="15" customHeight="1" x14ac:dyDescent="0.35">
      <c r="A320">
        <v>2024</v>
      </c>
      <c r="B320" t="s">
        <v>91</v>
      </c>
      <c r="C320" t="s">
        <v>76</v>
      </c>
      <c r="D320" t="s">
        <v>69</v>
      </c>
      <c r="E320" s="24">
        <v>18938</v>
      </c>
      <c r="F320" s="25">
        <v>16203612.710000001</v>
      </c>
      <c r="G320" s="26">
        <v>3.04</v>
      </c>
      <c r="H320" s="26">
        <v>84.26</v>
      </c>
      <c r="I320" s="27">
        <v>14.97</v>
      </c>
      <c r="J320" s="27">
        <v>201.33</v>
      </c>
      <c r="K320" s="26">
        <v>75.69</v>
      </c>
      <c r="L320" t="s">
        <v>83</v>
      </c>
      <c r="M320" t="s">
        <v>114</v>
      </c>
    </row>
    <row r="321" spans="1:13" ht="15" customHeight="1" x14ac:dyDescent="0.35">
      <c r="A321">
        <v>2024</v>
      </c>
      <c r="B321" t="s">
        <v>91</v>
      </c>
      <c r="C321" t="s">
        <v>78</v>
      </c>
      <c r="D321" t="s">
        <v>69</v>
      </c>
      <c r="E321" s="24">
        <v>14478</v>
      </c>
      <c r="F321" s="25">
        <v>46356728.390000001</v>
      </c>
      <c r="G321" s="26">
        <v>1.47</v>
      </c>
      <c r="H321" s="26">
        <v>44.98</v>
      </c>
      <c r="I321" s="27">
        <v>31.83</v>
      </c>
      <c r="J321" s="27">
        <v>190.4</v>
      </c>
      <c r="K321" s="26">
        <v>78.16</v>
      </c>
      <c r="L321" t="s">
        <v>73</v>
      </c>
      <c r="M321" t="s">
        <v>114</v>
      </c>
    </row>
    <row r="322" spans="1:13" ht="15" customHeight="1" x14ac:dyDescent="0.35">
      <c r="A322">
        <v>2024</v>
      </c>
      <c r="B322" t="s">
        <v>91</v>
      </c>
      <c r="C322" t="s">
        <v>79</v>
      </c>
      <c r="D322" t="s">
        <v>80</v>
      </c>
      <c r="E322" s="24">
        <v>64381</v>
      </c>
      <c r="F322" s="25">
        <v>8891741.3399999999</v>
      </c>
      <c r="G322" s="26">
        <v>3.46</v>
      </c>
      <c r="H322" s="26">
        <v>81.540000000000006</v>
      </c>
      <c r="I322" s="27">
        <v>25.48</v>
      </c>
      <c r="J322" s="27">
        <v>147.47999999999999</v>
      </c>
      <c r="K322" s="26">
        <v>52.94</v>
      </c>
      <c r="L322" t="s">
        <v>77</v>
      </c>
      <c r="M322" t="s">
        <v>114</v>
      </c>
    </row>
    <row r="323" spans="1:13" ht="15" customHeight="1" x14ac:dyDescent="0.35">
      <c r="A323">
        <v>2024</v>
      </c>
      <c r="B323" t="s">
        <v>91</v>
      </c>
      <c r="C323" t="s">
        <v>81</v>
      </c>
      <c r="D323" t="s">
        <v>80</v>
      </c>
      <c r="E323" s="24">
        <v>33515</v>
      </c>
      <c r="F323" s="25">
        <v>35787763.82</v>
      </c>
      <c r="G323" s="26">
        <v>4.3</v>
      </c>
      <c r="H323" s="26">
        <v>82.09</v>
      </c>
      <c r="I323" s="27">
        <v>44.83</v>
      </c>
      <c r="J323" s="27">
        <v>256.14</v>
      </c>
      <c r="K323" s="26">
        <v>51.86</v>
      </c>
      <c r="L323" t="s">
        <v>73</v>
      </c>
      <c r="M323" t="s">
        <v>114</v>
      </c>
    </row>
    <row r="324" spans="1:13" ht="15" customHeight="1" x14ac:dyDescent="0.35">
      <c r="A324">
        <v>2024</v>
      </c>
      <c r="B324" t="s">
        <v>91</v>
      </c>
      <c r="C324" t="s">
        <v>82</v>
      </c>
      <c r="D324" t="s">
        <v>80</v>
      </c>
      <c r="E324" s="24">
        <v>14587</v>
      </c>
      <c r="F324" s="25">
        <v>28041204.800000001</v>
      </c>
      <c r="G324" s="26">
        <v>2.85</v>
      </c>
      <c r="H324" s="26">
        <v>53.66</v>
      </c>
      <c r="I324" s="27">
        <v>51.8</v>
      </c>
      <c r="J324" s="27">
        <v>126.75</v>
      </c>
      <c r="K324" s="26">
        <v>94.43</v>
      </c>
      <c r="L324" t="s">
        <v>70</v>
      </c>
      <c r="M324" t="s">
        <v>114</v>
      </c>
    </row>
    <row r="325" spans="1:13" ht="15" customHeight="1" x14ac:dyDescent="0.35">
      <c r="A325">
        <v>2024</v>
      </c>
      <c r="B325" t="s">
        <v>91</v>
      </c>
      <c r="C325" t="s">
        <v>84</v>
      </c>
      <c r="D325" t="s">
        <v>80</v>
      </c>
      <c r="E325" s="24">
        <v>47712</v>
      </c>
      <c r="F325" s="25">
        <v>18117011.059999999</v>
      </c>
      <c r="G325" s="26">
        <v>3.62</v>
      </c>
      <c r="H325" s="26">
        <v>64.38</v>
      </c>
      <c r="I325" s="27">
        <v>33.69</v>
      </c>
      <c r="J325" s="27">
        <v>172.94</v>
      </c>
      <c r="K325" s="26">
        <v>72.78</v>
      </c>
      <c r="L325" t="s">
        <v>77</v>
      </c>
      <c r="M325" t="s">
        <v>114</v>
      </c>
    </row>
    <row r="326" spans="1:13" ht="15" customHeight="1" x14ac:dyDescent="0.35">
      <c r="A326">
        <v>2024</v>
      </c>
      <c r="B326" t="s">
        <v>91</v>
      </c>
      <c r="C326" t="s">
        <v>85</v>
      </c>
      <c r="D326" t="s">
        <v>80</v>
      </c>
      <c r="E326" s="24">
        <v>24276</v>
      </c>
      <c r="F326" s="25">
        <v>82025137.200000003</v>
      </c>
      <c r="G326" s="26">
        <v>6.27</v>
      </c>
      <c r="H326" s="26">
        <v>51.96</v>
      </c>
      <c r="I326" s="27">
        <v>37.97</v>
      </c>
      <c r="J326" s="27">
        <v>177.35</v>
      </c>
      <c r="K326" s="26">
        <v>73.86</v>
      </c>
      <c r="L326" t="s">
        <v>73</v>
      </c>
      <c r="M326" t="s">
        <v>114</v>
      </c>
    </row>
    <row r="327" spans="1:13" ht="15" customHeight="1" x14ac:dyDescent="0.35">
      <c r="A327">
        <v>2024</v>
      </c>
      <c r="B327" t="s">
        <v>91</v>
      </c>
      <c r="C327" t="s">
        <v>86</v>
      </c>
      <c r="D327" t="s">
        <v>80</v>
      </c>
      <c r="E327" s="24">
        <v>28349</v>
      </c>
      <c r="F327" s="25">
        <v>29473665.23</v>
      </c>
      <c r="G327" s="26">
        <v>6.51</v>
      </c>
      <c r="H327" s="26">
        <v>94.18</v>
      </c>
      <c r="I327" s="27">
        <v>34.270000000000003</v>
      </c>
      <c r="J327" s="27">
        <v>103.77</v>
      </c>
      <c r="K327" s="26">
        <v>65.41</v>
      </c>
      <c r="L327" t="s">
        <v>70</v>
      </c>
      <c r="M327" t="s">
        <v>114</v>
      </c>
    </row>
    <row r="328" spans="1:13" ht="15" customHeight="1" x14ac:dyDescent="0.35">
      <c r="A328">
        <v>2024</v>
      </c>
      <c r="B328" t="s">
        <v>91</v>
      </c>
      <c r="C328" t="s">
        <v>87</v>
      </c>
      <c r="D328" t="s">
        <v>80</v>
      </c>
      <c r="E328" s="24">
        <v>33169</v>
      </c>
      <c r="F328" s="25">
        <v>35954900.030000001</v>
      </c>
      <c r="G328" s="26">
        <v>5.42</v>
      </c>
      <c r="H328" s="26">
        <v>53.54</v>
      </c>
      <c r="I328" s="27">
        <v>26.02</v>
      </c>
      <c r="J328" s="27">
        <v>294.86</v>
      </c>
      <c r="K328" s="26">
        <v>54.66</v>
      </c>
      <c r="L328" t="s">
        <v>83</v>
      </c>
      <c r="M328" t="s">
        <v>114</v>
      </c>
    </row>
    <row r="329" spans="1:13" ht="15" customHeight="1" x14ac:dyDescent="0.35">
      <c r="A329">
        <v>2024</v>
      </c>
      <c r="B329" t="s">
        <v>91</v>
      </c>
      <c r="C329" t="s">
        <v>88</v>
      </c>
      <c r="D329" t="s">
        <v>80</v>
      </c>
      <c r="E329" s="24">
        <v>7463</v>
      </c>
      <c r="F329" s="25">
        <v>54322194.789999999</v>
      </c>
      <c r="G329" s="26">
        <v>3.42</v>
      </c>
      <c r="H329" s="26">
        <v>84.33</v>
      </c>
      <c r="I329" s="27">
        <v>29.05</v>
      </c>
      <c r="J329" s="27">
        <v>82.85</v>
      </c>
      <c r="K329" s="26">
        <v>88.18</v>
      </c>
      <c r="L329" t="s">
        <v>77</v>
      </c>
      <c r="M329" t="s">
        <v>114</v>
      </c>
    </row>
    <row r="330" spans="1:13" ht="15" customHeight="1" x14ac:dyDescent="0.35">
      <c r="A330">
        <v>2024</v>
      </c>
      <c r="B330" t="s">
        <v>91</v>
      </c>
      <c r="C330" t="s">
        <v>89</v>
      </c>
      <c r="D330" t="s">
        <v>80</v>
      </c>
      <c r="E330" s="24">
        <v>16723</v>
      </c>
      <c r="F330" s="25">
        <v>10462398.76</v>
      </c>
      <c r="G330" s="26">
        <v>5.79</v>
      </c>
      <c r="H330" s="26">
        <v>80.56</v>
      </c>
      <c r="I330" s="27">
        <v>28.87</v>
      </c>
      <c r="J330" s="27">
        <v>162.51</v>
      </c>
      <c r="K330" s="26">
        <v>72.81</v>
      </c>
      <c r="L330" t="s">
        <v>75</v>
      </c>
      <c r="M330" t="s">
        <v>114</v>
      </c>
    </row>
    <row r="331" spans="1:13" ht="15" customHeight="1" x14ac:dyDescent="0.35">
      <c r="A331">
        <v>2024</v>
      </c>
      <c r="B331" t="s">
        <v>91</v>
      </c>
      <c r="C331" t="s">
        <v>90</v>
      </c>
      <c r="D331" t="s">
        <v>80</v>
      </c>
      <c r="E331" s="24">
        <v>44327</v>
      </c>
      <c r="F331" s="25">
        <v>51331262.539999999</v>
      </c>
      <c r="G331" s="26">
        <v>4.95</v>
      </c>
      <c r="H331" s="26">
        <v>78.31</v>
      </c>
      <c r="I331" s="27">
        <v>41.66</v>
      </c>
      <c r="J331" s="27">
        <v>198.84</v>
      </c>
      <c r="K331" s="26">
        <v>46.44</v>
      </c>
      <c r="L331" t="s">
        <v>75</v>
      </c>
      <c r="M331" t="s">
        <v>114</v>
      </c>
    </row>
    <row r="332" spans="1:13" ht="15" customHeight="1" x14ac:dyDescent="0.35">
      <c r="A332">
        <v>2024</v>
      </c>
      <c r="B332" t="s">
        <v>93</v>
      </c>
      <c r="C332" t="s">
        <v>68</v>
      </c>
      <c r="D332" t="s">
        <v>69</v>
      </c>
      <c r="E332" s="24">
        <v>32671</v>
      </c>
      <c r="F332" s="25">
        <v>47591496.990000002</v>
      </c>
      <c r="G332" s="26">
        <v>2.77</v>
      </c>
      <c r="H332" s="26">
        <v>27.94</v>
      </c>
      <c r="I332" s="27">
        <v>32.880000000000003</v>
      </c>
      <c r="J332" s="27">
        <v>71.209999999999994</v>
      </c>
      <c r="K332" s="26">
        <v>82.95</v>
      </c>
      <c r="L332" t="s">
        <v>70</v>
      </c>
      <c r="M332" t="s">
        <v>115</v>
      </c>
    </row>
    <row r="333" spans="1:13" ht="15" customHeight="1" x14ac:dyDescent="0.35">
      <c r="A333">
        <v>2024</v>
      </c>
      <c r="B333" t="s">
        <v>93</v>
      </c>
      <c r="C333" t="s">
        <v>72</v>
      </c>
      <c r="D333" t="s">
        <v>69</v>
      </c>
      <c r="E333" s="24">
        <v>40214</v>
      </c>
      <c r="F333" s="25">
        <v>41136987.82</v>
      </c>
      <c r="G333" s="26">
        <v>0.14000000000000001</v>
      </c>
      <c r="H333" s="26">
        <v>87.83</v>
      </c>
      <c r="I333" s="27">
        <v>40.29</v>
      </c>
      <c r="J333" s="27">
        <v>259.95</v>
      </c>
      <c r="K333" s="26">
        <v>42.51</v>
      </c>
      <c r="L333" t="s">
        <v>70</v>
      </c>
      <c r="M333" t="s">
        <v>115</v>
      </c>
    </row>
    <row r="334" spans="1:13" ht="15" customHeight="1" x14ac:dyDescent="0.35">
      <c r="A334">
        <v>2024</v>
      </c>
      <c r="B334" t="s">
        <v>93</v>
      </c>
      <c r="C334" t="s">
        <v>74</v>
      </c>
      <c r="D334" t="s">
        <v>69</v>
      </c>
      <c r="E334" s="24">
        <v>5564</v>
      </c>
      <c r="F334" s="25">
        <v>59801417.460000001</v>
      </c>
      <c r="G334" s="26">
        <v>3.5</v>
      </c>
      <c r="H334" s="26">
        <v>48.6</v>
      </c>
      <c r="I334" s="27">
        <v>29.86</v>
      </c>
      <c r="J334" s="27">
        <v>213.04</v>
      </c>
      <c r="K334" s="26">
        <v>46.39</v>
      </c>
      <c r="L334" t="s">
        <v>83</v>
      </c>
      <c r="M334" t="s">
        <v>115</v>
      </c>
    </row>
    <row r="335" spans="1:13" ht="15" customHeight="1" x14ac:dyDescent="0.35">
      <c r="A335">
        <v>2024</v>
      </c>
      <c r="B335" t="s">
        <v>93</v>
      </c>
      <c r="C335" t="s">
        <v>76</v>
      </c>
      <c r="D335" t="s">
        <v>69</v>
      </c>
      <c r="E335" s="24">
        <v>19903</v>
      </c>
      <c r="F335" s="25">
        <v>17437926.68</v>
      </c>
      <c r="G335" s="26">
        <v>3.41</v>
      </c>
      <c r="H335" s="26">
        <v>61.77</v>
      </c>
      <c r="I335" s="27">
        <v>2.81</v>
      </c>
      <c r="J335" s="27">
        <v>289.86</v>
      </c>
      <c r="K335" s="26">
        <v>52.2</v>
      </c>
      <c r="L335" t="s">
        <v>75</v>
      </c>
      <c r="M335" t="s">
        <v>115</v>
      </c>
    </row>
    <row r="336" spans="1:13" ht="15" customHeight="1" x14ac:dyDescent="0.35">
      <c r="A336">
        <v>2024</v>
      </c>
      <c r="B336" t="s">
        <v>93</v>
      </c>
      <c r="C336" t="s">
        <v>78</v>
      </c>
      <c r="D336" t="s">
        <v>69</v>
      </c>
      <c r="E336" s="24">
        <v>21386</v>
      </c>
      <c r="F336" s="25">
        <v>36904339.770000003</v>
      </c>
      <c r="G336" s="26">
        <v>2.99</v>
      </c>
      <c r="H336" s="26">
        <v>72.989999999999995</v>
      </c>
      <c r="I336" s="27">
        <v>35.39</v>
      </c>
      <c r="J336" s="27">
        <v>296.75</v>
      </c>
      <c r="K336" s="26">
        <v>75.59</v>
      </c>
      <c r="L336" t="s">
        <v>73</v>
      </c>
      <c r="M336" t="s">
        <v>115</v>
      </c>
    </row>
    <row r="337" spans="1:13" ht="15" customHeight="1" x14ac:dyDescent="0.35">
      <c r="A337">
        <v>2024</v>
      </c>
      <c r="B337" t="s">
        <v>93</v>
      </c>
      <c r="C337" t="s">
        <v>79</v>
      </c>
      <c r="D337" t="s">
        <v>80</v>
      </c>
      <c r="E337" s="24">
        <v>27969</v>
      </c>
      <c r="F337" s="25">
        <v>70164647.829999998</v>
      </c>
      <c r="G337" s="26">
        <v>2.62</v>
      </c>
      <c r="H337" s="26">
        <v>46.76</v>
      </c>
      <c r="I337" s="27">
        <v>43.61</v>
      </c>
      <c r="J337" s="27">
        <v>103.25</v>
      </c>
      <c r="K337" s="26">
        <v>63.21</v>
      </c>
      <c r="L337" t="s">
        <v>75</v>
      </c>
      <c r="M337" t="s">
        <v>115</v>
      </c>
    </row>
    <row r="338" spans="1:13" ht="15" customHeight="1" x14ac:dyDescent="0.35">
      <c r="A338">
        <v>2024</v>
      </c>
      <c r="B338" t="s">
        <v>93</v>
      </c>
      <c r="C338" t="s">
        <v>81</v>
      </c>
      <c r="D338" t="s">
        <v>80</v>
      </c>
      <c r="E338" s="24">
        <v>37433</v>
      </c>
      <c r="F338" s="25">
        <v>18338586.460000001</v>
      </c>
      <c r="G338" s="26">
        <v>4.04</v>
      </c>
      <c r="H338" s="26">
        <v>87.64</v>
      </c>
      <c r="I338" s="27">
        <v>53.76</v>
      </c>
      <c r="J338" s="27">
        <v>101.77</v>
      </c>
      <c r="K338" s="26">
        <v>50.02</v>
      </c>
      <c r="L338" t="s">
        <v>75</v>
      </c>
      <c r="M338" t="s">
        <v>115</v>
      </c>
    </row>
    <row r="339" spans="1:13" ht="15" customHeight="1" x14ac:dyDescent="0.35">
      <c r="A339">
        <v>2024</v>
      </c>
      <c r="B339" t="s">
        <v>93</v>
      </c>
      <c r="C339" t="s">
        <v>82</v>
      </c>
      <c r="D339" t="s">
        <v>80</v>
      </c>
      <c r="E339" s="24">
        <v>39286</v>
      </c>
      <c r="F339" s="25">
        <v>60220617.189999998</v>
      </c>
      <c r="G339" s="26">
        <v>3.28</v>
      </c>
      <c r="H339" s="26">
        <v>52.62</v>
      </c>
      <c r="I339" s="27">
        <v>54.48</v>
      </c>
      <c r="J339" s="27">
        <v>284.67</v>
      </c>
      <c r="K339" s="26">
        <v>72.09</v>
      </c>
      <c r="L339" t="s">
        <v>83</v>
      </c>
      <c r="M339" t="s">
        <v>115</v>
      </c>
    </row>
    <row r="340" spans="1:13" ht="15" customHeight="1" x14ac:dyDescent="0.35">
      <c r="A340">
        <v>2024</v>
      </c>
      <c r="B340" t="s">
        <v>93</v>
      </c>
      <c r="C340" t="s">
        <v>84</v>
      </c>
      <c r="D340" t="s">
        <v>80</v>
      </c>
      <c r="E340" s="24">
        <v>53528</v>
      </c>
      <c r="F340" s="25">
        <v>21387152.239999998</v>
      </c>
      <c r="G340" s="26">
        <v>6.42</v>
      </c>
      <c r="H340" s="26">
        <v>100</v>
      </c>
      <c r="I340" s="27">
        <v>51.01</v>
      </c>
      <c r="J340" s="27">
        <v>130.55000000000001</v>
      </c>
      <c r="K340" s="26">
        <v>85.26</v>
      </c>
      <c r="L340" t="s">
        <v>75</v>
      </c>
      <c r="M340" t="s">
        <v>115</v>
      </c>
    </row>
    <row r="341" spans="1:13" ht="15" customHeight="1" x14ac:dyDescent="0.35">
      <c r="A341">
        <v>2024</v>
      </c>
      <c r="B341" t="s">
        <v>93</v>
      </c>
      <c r="C341" t="s">
        <v>85</v>
      </c>
      <c r="D341" t="s">
        <v>80</v>
      </c>
      <c r="E341" s="24">
        <v>35291</v>
      </c>
      <c r="F341" s="25">
        <v>49226395.399999999</v>
      </c>
      <c r="G341" s="26">
        <v>6.75</v>
      </c>
      <c r="H341" s="26">
        <v>62.89</v>
      </c>
      <c r="I341" s="27">
        <v>24.49</v>
      </c>
      <c r="J341" s="27">
        <v>220.65</v>
      </c>
      <c r="K341" s="26">
        <v>89.72</v>
      </c>
      <c r="L341" t="s">
        <v>77</v>
      </c>
      <c r="M341" t="s">
        <v>115</v>
      </c>
    </row>
    <row r="342" spans="1:13" ht="15" customHeight="1" x14ac:dyDescent="0.35">
      <c r="A342">
        <v>2024</v>
      </c>
      <c r="B342" t="s">
        <v>93</v>
      </c>
      <c r="C342" t="s">
        <v>86</v>
      </c>
      <c r="D342" t="s">
        <v>80</v>
      </c>
      <c r="E342" s="24">
        <v>59709</v>
      </c>
      <c r="F342" s="25">
        <v>24247149.039999999</v>
      </c>
      <c r="G342" s="26">
        <v>6.3</v>
      </c>
      <c r="H342" s="26">
        <v>100</v>
      </c>
      <c r="I342" s="27">
        <v>12.99</v>
      </c>
      <c r="J342" s="27">
        <v>284.37</v>
      </c>
      <c r="K342" s="26">
        <v>67.069999999999993</v>
      </c>
      <c r="L342" t="s">
        <v>75</v>
      </c>
      <c r="M342" t="s">
        <v>115</v>
      </c>
    </row>
    <row r="343" spans="1:13" ht="15" customHeight="1" x14ac:dyDescent="0.35">
      <c r="A343">
        <v>2024</v>
      </c>
      <c r="B343" t="s">
        <v>93</v>
      </c>
      <c r="C343" t="s">
        <v>87</v>
      </c>
      <c r="D343" t="s">
        <v>80</v>
      </c>
      <c r="E343" s="24">
        <v>43568</v>
      </c>
      <c r="F343" s="25">
        <v>7815666.25</v>
      </c>
      <c r="G343" s="26">
        <v>5.04</v>
      </c>
      <c r="H343" s="26">
        <v>74.459999999999994</v>
      </c>
      <c r="I343" s="27">
        <v>45.39</v>
      </c>
      <c r="J343" s="27">
        <v>255.35</v>
      </c>
      <c r="K343" s="26">
        <v>72.28</v>
      </c>
      <c r="L343" t="s">
        <v>77</v>
      </c>
      <c r="M343" t="s">
        <v>115</v>
      </c>
    </row>
    <row r="344" spans="1:13" ht="15" customHeight="1" x14ac:dyDescent="0.35">
      <c r="A344">
        <v>2024</v>
      </c>
      <c r="B344" t="s">
        <v>93</v>
      </c>
      <c r="C344" t="s">
        <v>88</v>
      </c>
      <c r="D344" t="s">
        <v>80</v>
      </c>
      <c r="E344" s="24">
        <v>14266</v>
      </c>
      <c r="F344" s="25">
        <v>34815441.960000001</v>
      </c>
      <c r="G344" s="26">
        <v>4.33</v>
      </c>
      <c r="H344" s="26">
        <v>40.78</v>
      </c>
      <c r="I344" s="27">
        <v>17.489999999999998</v>
      </c>
      <c r="J344" s="27">
        <v>190.78</v>
      </c>
      <c r="K344" s="26">
        <v>88.08</v>
      </c>
      <c r="L344" t="s">
        <v>73</v>
      </c>
      <c r="M344" t="s">
        <v>115</v>
      </c>
    </row>
    <row r="345" spans="1:13" ht="15" customHeight="1" x14ac:dyDescent="0.35">
      <c r="A345">
        <v>2024</v>
      </c>
      <c r="B345" t="s">
        <v>93</v>
      </c>
      <c r="C345" t="s">
        <v>89</v>
      </c>
      <c r="D345" t="s">
        <v>80</v>
      </c>
      <c r="E345" s="24">
        <v>15763</v>
      </c>
      <c r="F345" s="25">
        <v>7376208.8499999996</v>
      </c>
      <c r="G345" s="26">
        <v>5.89</v>
      </c>
      <c r="H345" s="26">
        <v>74.459999999999994</v>
      </c>
      <c r="I345" s="27">
        <v>50.36</v>
      </c>
      <c r="J345" s="27">
        <v>173.23</v>
      </c>
      <c r="K345" s="26">
        <v>52.39</v>
      </c>
      <c r="L345" t="s">
        <v>77</v>
      </c>
      <c r="M345" t="s">
        <v>115</v>
      </c>
    </row>
    <row r="346" spans="1:13" ht="15" customHeight="1" x14ac:dyDescent="0.35">
      <c r="A346">
        <v>2024</v>
      </c>
      <c r="B346" t="s">
        <v>93</v>
      </c>
      <c r="C346" t="s">
        <v>90</v>
      </c>
      <c r="D346" t="s">
        <v>80</v>
      </c>
      <c r="E346" s="24">
        <v>37683</v>
      </c>
      <c r="F346" s="25">
        <v>25975311.579999998</v>
      </c>
      <c r="G346" s="26">
        <v>6.15</v>
      </c>
      <c r="H346" s="26">
        <v>87.83</v>
      </c>
      <c r="I346" s="27">
        <v>29.56</v>
      </c>
      <c r="J346" s="27">
        <v>270.57</v>
      </c>
      <c r="K346" s="26">
        <v>63.33</v>
      </c>
      <c r="L346" t="s">
        <v>83</v>
      </c>
      <c r="M346" t="s">
        <v>115</v>
      </c>
    </row>
    <row r="347" spans="1:13" ht="15" customHeight="1" x14ac:dyDescent="0.35">
      <c r="A347">
        <v>2024</v>
      </c>
      <c r="B347" t="s">
        <v>95</v>
      </c>
      <c r="C347" t="s">
        <v>68</v>
      </c>
      <c r="D347" t="s">
        <v>69</v>
      </c>
      <c r="E347" s="24">
        <v>9805</v>
      </c>
      <c r="F347" s="25">
        <v>4494602.49</v>
      </c>
      <c r="G347" s="26">
        <v>0.27</v>
      </c>
      <c r="H347" s="26">
        <v>59.49</v>
      </c>
      <c r="I347" s="27">
        <v>16.98</v>
      </c>
      <c r="J347" s="27">
        <v>203.22</v>
      </c>
      <c r="K347" s="26">
        <v>57.32</v>
      </c>
      <c r="L347" t="s">
        <v>75</v>
      </c>
      <c r="M347" t="s">
        <v>116</v>
      </c>
    </row>
    <row r="348" spans="1:13" ht="15" customHeight="1" x14ac:dyDescent="0.35">
      <c r="A348">
        <v>2024</v>
      </c>
      <c r="B348" t="s">
        <v>95</v>
      </c>
      <c r="C348" t="s">
        <v>72</v>
      </c>
      <c r="D348" t="s">
        <v>69</v>
      </c>
      <c r="E348" s="24">
        <v>39017</v>
      </c>
      <c r="F348" s="25">
        <v>15031174.35</v>
      </c>
      <c r="G348" s="26">
        <v>1.95</v>
      </c>
      <c r="H348" s="26">
        <v>50.4</v>
      </c>
      <c r="I348" s="27">
        <v>25.44</v>
      </c>
      <c r="J348" s="27">
        <v>268.60000000000002</v>
      </c>
      <c r="K348" s="26">
        <v>38.07</v>
      </c>
      <c r="L348" t="s">
        <v>70</v>
      </c>
      <c r="M348" t="s">
        <v>116</v>
      </c>
    </row>
    <row r="349" spans="1:13" ht="15" customHeight="1" x14ac:dyDescent="0.35">
      <c r="A349">
        <v>2024</v>
      </c>
      <c r="B349" t="s">
        <v>95</v>
      </c>
      <c r="C349" t="s">
        <v>74</v>
      </c>
      <c r="D349" t="s">
        <v>69</v>
      </c>
      <c r="E349" s="24">
        <v>7534</v>
      </c>
      <c r="F349" s="25">
        <v>29771391.219999999</v>
      </c>
      <c r="G349" s="26">
        <v>3.55</v>
      </c>
      <c r="H349" s="26">
        <v>47.5</v>
      </c>
      <c r="I349" s="27">
        <v>12.56</v>
      </c>
      <c r="J349" s="27">
        <v>51.73</v>
      </c>
      <c r="K349" s="26">
        <v>74.44</v>
      </c>
      <c r="L349" t="s">
        <v>83</v>
      </c>
      <c r="M349" t="s">
        <v>116</v>
      </c>
    </row>
    <row r="350" spans="1:13" ht="15" customHeight="1" x14ac:dyDescent="0.35">
      <c r="A350">
        <v>2024</v>
      </c>
      <c r="B350" t="s">
        <v>95</v>
      </c>
      <c r="C350" t="s">
        <v>76</v>
      </c>
      <c r="D350" t="s">
        <v>69</v>
      </c>
      <c r="E350" s="24">
        <v>42266</v>
      </c>
      <c r="F350" s="25">
        <v>23557754.829999998</v>
      </c>
      <c r="G350" s="26">
        <v>0.34</v>
      </c>
      <c r="H350" s="26">
        <v>86.28</v>
      </c>
      <c r="I350" s="27">
        <v>26.49</v>
      </c>
      <c r="J350" s="27">
        <v>294.81</v>
      </c>
      <c r="K350" s="26">
        <v>51.79</v>
      </c>
      <c r="L350" t="s">
        <v>73</v>
      </c>
      <c r="M350" t="s">
        <v>116</v>
      </c>
    </row>
    <row r="351" spans="1:13" ht="15" customHeight="1" x14ac:dyDescent="0.35">
      <c r="A351">
        <v>2024</v>
      </c>
      <c r="B351" t="s">
        <v>95</v>
      </c>
      <c r="C351" t="s">
        <v>78</v>
      </c>
      <c r="D351" t="s">
        <v>69</v>
      </c>
      <c r="E351" s="24">
        <v>28852</v>
      </c>
      <c r="F351" s="25">
        <v>14365866.470000001</v>
      </c>
      <c r="G351" s="26">
        <v>0.23</v>
      </c>
      <c r="H351" s="26">
        <v>46.1</v>
      </c>
      <c r="I351" s="27">
        <v>3.47</v>
      </c>
      <c r="J351" s="27">
        <v>194.32</v>
      </c>
      <c r="K351" s="26">
        <v>86.51</v>
      </c>
      <c r="L351" t="s">
        <v>75</v>
      </c>
      <c r="M351" t="s">
        <v>116</v>
      </c>
    </row>
    <row r="352" spans="1:13" ht="15" customHeight="1" x14ac:dyDescent="0.35">
      <c r="A352">
        <v>2024</v>
      </c>
      <c r="B352" t="s">
        <v>95</v>
      </c>
      <c r="C352" t="s">
        <v>79</v>
      </c>
      <c r="D352" t="s">
        <v>80</v>
      </c>
      <c r="E352" s="24">
        <v>25724</v>
      </c>
      <c r="F352" s="25">
        <v>57565236.579999998</v>
      </c>
      <c r="G352" s="26">
        <v>5.68</v>
      </c>
      <c r="H352" s="26">
        <v>69.98</v>
      </c>
      <c r="I352" s="27">
        <v>34.17</v>
      </c>
      <c r="J352" s="27">
        <v>231.5</v>
      </c>
      <c r="K352" s="26">
        <v>84.08</v>
      </c>
      <c r="L352" t="s">
        <v>73</v>
      </c>
      <c r="M352" t="s">
        <v>116</v>
      </c>
    </row>
    <row r="353" spans="1:13" ht="15" customHeight="1" x14ac:dyDescent="0.35">
      <c r="A353">
        <v>2024</v>
      </c>
      <c r="B353" t="s">
        <v>95</v>
      </c>
      <c r="C353" t="s">
        <v>81</v>
      </c>
      <c r="D353" t="s">
        <v>80</v>
      </c>
      <c r="E353" s="24">
        <v>10554</v>
      </c>
      <c r="F353" s="25">
        <v>21897425.739999998</v>
      </c>
      <c r="G353" s="26">
        <v>5.35</v>
      </c>
      <c r="H353" s="26">
        <v>41.87</v>
      </c>
      <c r="I353" s="27">
        <v>19.649999999999999</v>
      </c>
      <c r="J353" s="27">
        <v>187.87</v>
      </c>
      <c r="K353" s="26">
        <v>87.11</v>
      </c>
      <c r="L353" t="s">
        <v>70</v>
      </c>
      <c r="M353" t="s">
        <v>116</v>
      </c>
    </row>
    <row r="354" spans="1:13" ht="15" customHeight="1" x14ac:dyDescent="0.35">
      <c r="A354">
        <v>2024</v>
      </c>
      <c r="B354" t="s">
        <v>95</v>
      </c>
      <c r="C354" t="s">
        <v>82</v>
      </c>
      <c r="D354" t="s">
        <v>80</v>
      </c>
      <c r="E354" s="24">
        <v>63966</v>
      </c>
      <c r="F354" s="25">
        <v>35148376</v>
      </c>
      <c r="G354" s="26">
        <v>3.86</v>
      </c>
      <c r="H354" s="26">
        <v>68.180000000000007</v>
      </c>
      <c r="I354" s="27">
        <v>37.299999999999997</v>
      </c>
      <c r="J354" s="27">
        <v>171.35</v>
      </c>
      <c r="K354" s="26">
        <v>81.11</v>
      </c>
      <c r="L354" t="s">
        <v>77</v>
      </c>
      <c r="M354" t="s">
        <v>116</v>
      </c>
    </row>
    <row r="355" spans="1:13" ht="15" customHeight="1" x14ac:dyDescent="0.35">
      <c r="A355">
        <v>2024</v>
      </c>
      <c r="B355" t="s">
        <v>95</v>
      </c>
      <c r="C355" t="s">
        <v>84</v>
      </c>
      <c r="D355" t="s">
        <v>80</v>
      </c>
      <c r="E355" s="24">
        <v>50336</v>
      </c>
      <c r="F355" s="25">
        <v>24239867.16</v>
      </c>
      <c r="G355" s="26">
        <v>4.0599999999999996</v>
      </c>
      <c r="H355" s="26">
        <v>44.48</v>
      </c>
      <c r="I355" s="27">
        <v>16.75</v>
      </c>
      <c r="J355" s="27">
        <v>205.63</v>
      </c>
      <c r="K355" s="26">
        <v>73.459999999999994</v>
      </c>
      <c r="L355" t="s">
        <v>75</v>
      </c>
      <c r="M355" t="s">
        <v>116</v>
      </c>
    </row>
    <row r="356" spans="1:13" ht="15" customHeight="1" x14ac:dyDescent="0.35">
      <c r="A356">
        <v>2024</v>
      </c>
      <c r="B356" t="s">
        <v>95</v>
      </c>
      <c r="C356" t="s">
        <v>85</v>
      </c>
      <c r="D356" t="s">
        <v>80</v>
      </c>
      <c r="E356" s="24">
        <v>35834</v>
      </c>
      <c r="F356" s="25">
        <v>8672653.0099999998</v>
      </c>
      <c r="G356" s="26">
        <v>3.47</v>
      </c>
      <c r="H356" s="26">
        <v>79.11</v>
      </c>
      <c r="I356" s="27">
        <v>20.48</v>
      </c>
      <c r="J356" s="27">
        <v>97.86</v>
      </c>
      <c r="K356" s="26">
        <v>49</v>
      </c>
      <c r="L356" t="s">
        <v>75</v>
      </c>
      <c r="M356" t="s">
        <v>116</v>
      </c>
    </row>
    <row r="357" spans="1:13" ht="15" customHeight="1" x14ac:dyDescent="0.35">
      <c r="A357">
        <v>2024</v>
      </c>
      <c r="B357" t="s">
        <v>95</v>
      </c>
      <c r="C357" t="s">
        <v>86</v>
      </c>
      <c r="D357" t="s">
        <v>80</v>
      </c>
      <c r="E357" s="24">
        <v>28368</v>
      </c>
      <c r="F357" s="25">
        <v>17639255.890000001</v>
      </c>
      <c r="G357" s="26">
        <v>5.79</v>
      </c>
      <c r="H357" s="26">
        <v>47.78</v>
      </c>
      <c r="I357" s="27">
        <v>35.700000000000003</v>
      </c>
      <c r="J357" s="27">
        <v>99.55</v>
      </c>
      <c r="K357" s="26">
        <v>92.85</v>
      </c>
      <c r="L357" t="s">
        <v>83</v>
      </c>
      <c r="M357" t="s">
        <v>116</v>
      </c>
    </row>
    <row r="358" spans="1:13" ht="15" customHeight="1" x14ac:dyDescent="0.35">
      <c r="A358">
        <v>2024</v>
      </c>
      <c r="B358" t="s">
        <v>95</v>
      </c>
      <c r="C358" t="s">
        <v>87</v>
      </c>
      <c r="D358" t="s">
        <v>80</v>
      </c>
      <c r="E358" s="24">
        <v>31313</v>
      </c>
      <c r="F358" s="25">
        <v>33616387.43</v>
      </c>
      <c r="G358" s="26">
        <v>6.7</v>
      </c>
      <c r="H358" s="26">
        <v>59.12</v>
      </c>
      <c r="I358" s="27">
        <v>51.35</v>
      </c>
      <c r="J358" s="27">
        <v>229.94</v>
      </c>
      <c r="K358" s="26">
        <v>66.099999999999994</v>
      </c>
      <c r="L358" t="s">
        <v>77</v>
      </c>
      <c r="M358" t="s">
        <v>116</v>
      </c>
    </row>
    <row r="359" spans="1:13" ht="15" customHeight="1" x14ac:dyDescent="0.35">
      <c r="A359">
        <v>2024</v>
      </c>
      <c r="B359" t="s">
        <v>95</v>
      </c>
      <c r="C359" t="s">
        <v>88</v>
      </c>
      <c r="D359" t="s">
        <v>80</v>
      </c>
      <c r="E359" s="24">
        <v>10175</v>
      </c>
      <c r="F359" s="25">
        <v>31584423.949999999</v>
      </c>
      <c r="G359" s="26">
        <v>6.39</v>
      </c>
      <c r="H359" s="26">
        <v>86.4</v>
      </c>
      <c r="I359" s="27">
        <v>6.87</v>
      </c>
      <c r="J359" s="27">
        <v>170.92</v>
      </c>
      <c r="K359" s="26">
        <v>87.54</v>
      </c>
      <c r="L359" t="s">
        <v>70</v>
      </c>
      <c r="M359" t="s">
        <v>116</v>
      </c>
    </row>
    <row r="360" spans="1:13" ht="15" customHeight="1" x14ac:dyDescent="0.35">
      <c r="A360">
        <v>2024</v>
      </c>
      <c r="B360" t="s">
        <v>95</v>
      </c>
      <c r="C360" t="s">
        <v>89</v>
      </c>
      <c r="D360" t="s">
        <v>80</v>
      </c>
      <c r="E360" s="24">
        <v>27459</v>
      </c>
      <c r="F360" s="25">
        <v>48297091.18</v>
      </c>
      <c r="G360" s="26">
        <v>2.65</v>
      </c>
      <c r="H360" s="26">
        <v>73.66</v>
      </c>
      <c r="I360" s="27">
        <v>17.95</v>
      </c>
      <c r="J360" s="27">
        <v>186.37</v>
      </c>
      <c r="K360" s="26">
        <v>92.94</v>
      </c>
      <c r="L360" t="s">
        <v>77</v>
      </c>
      <c r="M360" t="s">
        <v>116</v>
      </c>
    </row>
    <row r="361" spans="1:13" ht="15" customHeight="1" x14ac:dyDescent="0.35">
      <c r="A361">
        <v>2024</v>
      </c>
      <c r="B361" t="s">
        <v>95</v>
      </c>
      <c r="C361" t="s">
        <v>90</v>
      </c>
      <c r="D361" t="s">
        <v>80</v>
      </c>
      <c r="E361" s="24">
        <v>23576</v>
      </c>
      <c r="F361" s="25">
        <v>7378715.04</v>
      </c>
      <c r="G361" s="26">
        <v>4.9400000000000004</v>
      </c>
      <c r="H361" s="26">
        <v>92.65</v>
      </c>
      <c r="I361" s="27">
        <v>27.65</v>
      </c>
      <c r="J361" s="27">
        <v>261.8</v>
      </c>
      <c r="K361" s="26">
        <v>75.180000000000007</v>
      </c>
      <c r="L361" t="s">
        <v>70</v>
      </c>
      <c r="M361" t="s">
        <v>116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"/>
  <sheetViews>
    <sheetView zoomScaleNormal="100" workbookViewId="0"/>
  </sheetViews>
  <sheetFormatPr defaultColWidth="8.6328125" defaultRowHeight="14.5" x14ac:dyDescent="0.35"/>
  <sheetData>
    <row r="1" spans="1:20" ht="15" customHeight="1" x14ac:dyDescent="0.35">
      <c r="A1" t="s">
        <v>2</v>
      </c>
      <c r="B1" t="s">
        <v>117</v>
      </c>
      <c r="D1" t="s">
        <v>3</v>
      </c>
      <c r="E1" t="s">
        <v>118</v>
      </c>
      <c r="G1" t="s">
        <v>5</v>
      </c>
      <c r="H1" t="s">
        <v>117</v>
      </c>
      <c r="J1" t="s">
        <v>17</v>
      </c>
      <c r="K1" t="s">
        <v>118</v>
      </c>
      <c r="M1" t="s">
        <v>119</v>
      </c>
      <c r="N1" t="s">
        <v>120</v>
      </c>
      <c r="P1" t="s">
        <v>5</v>
      </c>
      <c r="Q1" t="s">
        <v>17</v>
      </c>
      <c r="R1" t="s">
        <v>118</v>
      </c>
      <c r="S1" t="s">
        <v>117</v>
      </c>
      <c r="T1" t="s">
        <v>121</v>
      </c>
    </row>
    <row r="2" spans="1:20" ht="15" customHeight="1" x14ac:dyDescent="0.35">
      <c r="A2">
        <v>2019</v>
      </c>
      <c r="B2" s="25">
        <f>SUMPRODUCT((Data!$A$2:$A$361=A2)*(Data!$L$2:$L$361=IF(Dashboard!$C$6="All",Data!$L$2:$L$361,Dashboard!$C$6))*(Data!$D$2:$D$361=IF(Dashboard!$D$6="All",Data!$D$2:$D$361,Dashboard!$D$6))*(Data!$C$2:$C$361=IF(Dashboard!$E$6="All",Data!$C$2:$C$361,Dashboard!$E$6))*Data!$F$2:$F$361)</f>
        <v>72090418.780000001</v>
      </c>
      <c r="D2" t="s">
        <v>70</v>
      </c>
      <c r="E2" s="24">
        <f>SUMPRODUCT((Data!$L$2:$L$361=D2)*(Data!$A$2:$A$361=IF(Dashboard!$B$6="All",Data!$A$2:$A$361,Dashboard!$B$6))*(Data!$D$2:$D$361=IF(Dashboard!$D$6="All",Data!$D$2:$D$361,Dashboard!$D$6))*(Data!$C$2:$C$361=IF(Dashboard!$E$6="All",Data!$C$2:$C$361,Dashboard!$E$6))*Data!$E$2:$E$361)</f>
        <v>159813</v>
      </c>
      <c r="G2" t="s">
        <v>68</v>
      </c>
      <c r="H2" s="25">
        <f>SUMPRODUCT((Data!$C$2:$C$361=G2)*(Data!$A$2:$A$361=IF(Dashboard!$B$6="All",Data!$A$2:$A$361,Dashboard!$B$6))*(Data!$L$2:$L$361=IF(Dashboard!$C$6="All",Data!$L$2:$L$361,Dashboard!$C$6))*(Data!$D$2:$D$361=IF(Dashboard!$D$6="All",Data!$D$2:$D$361,Dashboard!$D$6))*Data!$F$2:$F$361)</f>
        <v>522440384.89000005</v>
      </c>
      <c r="J2" t="s">
        <v>80</v>
      </c>
      <c r="K2" s="24">
        <f>SUMPRODUCT((Data!$D$2:$D$361=J2)*(Data!$A$2:$A$361=IF(Dashboard!$B$6="All",Data!$A$2:$A$361,Dashboard!$B$6))*(Data!$L$2:$L$361=IF(Dashboard!$C$6="All",Data!$L$2:$L$361,Dashboard!$C$6))*(Data!$C$2:$C$361=IF(Dashboard!$E$6="All",Data!$C$2:$C$361,Dashboard!$E$6))*Data!$E$2:$E$361)</f>
        <v>0</v>
      </c>
      <c r="M2" t="s">
        <v>7</v>
      </c>
      <c r="N2" s="25">
        <f>SUMPRODUCT((Data!$A$2:$A$361=IF(Dashboard!$B$6="All",Data!$A$2:$A$361,Dashboard!$B$6))*(Data!$L$2:$L$361=IF(Dashboard!$C$6="All",Data!$L$2:$L$361,Dashboard!$C$6))*(Data!$D$2:$D$361=IF(Dashboard!$D$6="All",Data!$D$2:$D$361,Dashboard!$D$6))*(Data!$C$2:$C$361=IF(Dashboard!$E$6="All",Data!$C$2:$C$361,Dashboard!$E$6))*Data!$F$2:$F$361)</f>
        <v>522440384.89000005</v>
      </c>
      <c r="P2" t="s">
        <v>68</v>
      </c>
      <c r="Q2" t="str">
        <f>INDEX(Data!$D$2:$D$361,MATCH(P2,Data!$C$2:$C$361,0))</f>
        <v>No</v>
      </c>
      <c r="R2" s="24">
        <f>SUMPRODUCT((Data!$C$2:$C$361=P2)*(Data!$A$2:$A$361=IF(Dashboard!$B$6="All",Data!$A$2:$A$361,Dashboard!$B$6))*(Data!$L$2:$L$361=IF(Dashboard!$C$6="All",Data!$L$2:$L$361,Dashboard!$C$6))*(Data!$D$2:$D$361=IF(Dashboard!$D$6="All",Data!$D$2:$D$361,Dashboard!$D$6))*Data!$E$2:$E$361)</f>
        <v>692053</v>
      </c>
      <c r="S2" s="25">
        <f>SUMPRODUCT((Data!$C$2:$C$361=P2)*(Data!$A$2:$A$361=IF(Dashboard!$B$6="All",Data!$A$2:$A$361,Dashboard!$B$6))*(Data!$L$2:$L$361=IF(Dashboard!$C$6="All",Data!$L$2:$L$361,Dashboard!$C$6))*(Data!$D$2:$D$361=IF(Dashboard!$D$6="All",Data!$D$2:$D$361,Dashboard!$D$6))*Data!$F$2:$F$361)</f>
        <v>522440384.89000005</v>
      </c>
      <c r="T2" s="25">
        <f t="shared" ref="T2:T16" si="0">IFERROR(S2/R2,0)</f>
        <v>754.91383592008128</v>
      </c>
    </row>
    <row r="3" spans="1:20" ht="15" customHeight="1" x14ac:dyDescent="0.35">
      <c r="A3">
        <v>2020</v>
      </c>
      <c r="B3" s="25">
        <f>SUMPRODUCT((Data!$A$2:$A$361=A3)*(Data!$L$2:$L$361=IF(Dashboard!$C$6="All",Data!$L$2:$L$361,Dashboard!$C$6))*(Data!$D$2:$D$361=IF(Dashboard!$D$6="All",Data!$D$2:$D$361,Dashboard!$D$6))*(Data!$C$2:$C$361=IF(Dashboard!$E$6="All",Data!$C$2:$C$361,Dashboard!$E$6))*Data!$F$2:$F$361)</f>
        <v>105317223.27000001</v>
      </c>
      <c r="D3" t="s">
        <v>83</v>
      </c>
      <c r="E3" s="24">
        <f>SUMPRODUCT((Data!$L$2:$L$361=D3)*(Data!$A$2:$A$361=IF(Dashboard!$B$6="All",Data!$A$2:$A$361,Dashboard!$B$6))*(Data!$D$2:$D$361=IF(Dashboard!$D$6="All",Data!$D$2:$D$361,Dashboard!$D$6))*(Data!$C$2:$C$361=IF(Dashboard!$E$6="All",Data!$C$2:$C$361,Dashboard!$E$6))*Data!$E$2:$E$361)</f>
        <v>110895</v>
      </c>
      <c r="G3" t="s">
        <v>72</v>
      </c>
      <c r="H3" s="25">
        <f>SUMPRODUCT((Data!$C$2:$C$361=G3)*(Data!$A$2:$A$361=IF(Dashboard!$B$6="All",Data!$A$2:$A$361,Dashboard!$B$6))*(Data!$L$2:$L$361=IF(Dashboard!$C$6="All",Data!$L$2:$L$361,Dashboard!$C$6))*(Data!$D$2:$D$361=IF(Dashboard!$D$6="All",Data!$D$2:$D$361,Dashboard!$D$6))*Data!$F$2:$F$361)</f>
        <v>574059943.6500001</v>
      </c>
      <c r="J3" t="s">
        <v>69</v>
      </c>
      <c r="K3" s="24">
        <f>SUMPRODUCT((Data!$D$2:$D$361=J3)*(Data!$A$2:$A$361=IF(Dashboard!$B$6="All",Data!$A$2:$A$361,Dashboard!$B$6))*(Data!$L$2:$L$361=IF(Dashboard!$C$6="All",Data!$L$2:$L$361,Dashboard!$C$6))*(Data!$C$2:$C$361=IF(Dashboard!$E$6="All",Data!$C$2:$C$361,Dashboard!$E$6))*Data!$E$2:$E$361)</f>
        <v>692053</v>
      </c>
      <c r="M3" t="s">
        <v>18</v>
      </c>
      <c r="N3" s="24">
        <f>SUMPRODUCT((Data!$A$2:$A$361=IF(Dashboard!$B$6="All",Data!$A$2:$A$361,Dashboard!$B$6))*(Data!$L$2:$L$361=IF(Dashboard!$C$6="All",Data!$L$2:$L$361,Dashboard!$C$6))*(Data!$D$2:$D$361=IF(Dashboard!$D$6="All",Data!$D$2:$D$361,Dashboard!$D$6))*(Data!$C$2:$C$361=IF(Dashboard!$E$6="All",Data!$C$2:$C$361,Dashboard!$E$6))*Data!$E$2:$E$361)</f>
        <v>692053</v>
      </c>
      <c r="P3" t="s">
        <v>72</v>
      </c>
      <c r="Q3" t="str">
        <f>INDEX(Data!$D$2:$D$361,MATCH(P3,Data!$C$2:$C$361,0))</f>
        <v>No</v>
      </c>
      <c r="R3" s="24">
        <f>SUMPRODUCT((Data!$C$2:$C$361=P3)*(Data!$A$2:$A$361=IF(Dashboard!$B$6="All",Data!$A$2:$A$361,Dashboard!$B$6))*(Data!$L$2:$L$361=IF(Dashboard!$C$6="All",Data!$L$2:$L$361,Dashboard!$C$6))*(Data!$D$2:$D$361=IF(Dashboard!$D$6="All",Data!$D$2:$D$361,Dashboard!$D$6))*Data!$E$2:$E$361)</f>
        <v>615344</v>
      </c>
      <c r="S3" s="25">
        <f>SUMPRODUCT((Data!$C$2:$C$361=P3)*(Data!$A$2:$A$361=IF(Dashboard!$B$6="All",Data!$A$2:$A$361,Dashboard!$B$6))*(Data!$L$2:$L$361=IF(Dashboard!$C$6="All",Data!$L$2:$L$361,Dashboard!$C$6))*(Data!$D$2:$D$361=IF(Dashboard!$D$6="All",Data!$D$2:$D$361,Dashboard!$D$6))*Data!$F$2:$F$361)</f>
        <v>574059943.6500001</v>
      </c>
      <c r="T3" s="25">
        <f t="shared" si="0"/>
        <v>932.90898042395816</v>
      </c>
    </row>
    <row r="4" spans="1:20" ht="15" customHeight="1" x14ac:dyDescent="0.35">
      <c r="A4">
        <v>2021</v>
      </c>
      <c r="B4" s="25">
        <f>SUMPRODUCT((Data!$A$2:$A$361=A4)*(Data!$L$2:$L$361=IF(Dashboard!$C$6="All",Data!$L$2:$L$361,Dashboard!$C$6))*(Data!$D$2:$D$361=IF(Dashboard!$D$6="All",Data!$D$2:$D$361,Dashboard!$D$6))*(Data!$C$2:$C$361=IF(Dashboard!$E$6="All",Data!$C$2:$C$361,Dashboard!$E$6))*Data!$F$2:$F$361)</f>
        <v>103515832.51000001</v>
      </c>
      <c r="D4" t="s">
        <v>73</v>
      </c>
      <c r="E4" s="24">
        <f>SUMPRODUCT((Data!$L$2:$L$361=D4)*(Data!$A$2:$A$361=IF(Dashboard!$B$6="All",Data!$A$2:$A$361,Dashboard!$B$6))*(Data!$D$2:$D$361=IF(Dashboard!$D$6="All",Data!$D$2:$D$361,Dashboard!$D$6))*(Data!$C$2:$C$361=IF(Dashboard!$E$6="All",Data!$C$2:$C$361,Dashboard!$E$6))*Data!$E$2:$E$361)</f>
        <v>68272</v>
      </c>
      <c r="G4" t="s">
        <v>74</v>
      </c>
      <c r="H4" s="25">
        <f>SUMPRODUCT((Data!$C$2:$C$361=G4)*(Data!$A$2:$A$361=IF(Dashboard!$B$6="All",Data!$A$2:$A$361,Dashboard!$B$6))*(Data!$L$2:$L$361=IF(Dashboard!$C$6="All",Data!$L$2:$L$361,Dashboard!$C$6))*(Data!$D$2:$D$361=IF(Dashboard!$D$6="All",Data!$D$2:$D$361,Dashboard!$D$6))*Data!$F$2:$F$361)</f>
        <v>514349659.21999991</v>
      </c>
      <c r="M4" t="s">
        <v>122</v>
      </c>
      <c r="N4" s="26">
        <f>IFERROR(SUMPRODUCT((Data!$A$2:$A$361=IF(Dashboard!$B$6="All",Data!$A$2:$A$361,Dashboard!$B$6))*(Data!$L$2:$L$361=IF(Dashboard!$C$6="All",Data!$L$2:$L$361,Dashboard!$C$6))*(Data!$D$2:$D$361=IF(Dashboard!$D$6="All",Data!$D$2:$D$361,Dashboard!$D$6))*(Data!$C$2:$C$361=IF(Dashboard!$E$6="All",Data!$C$2:$C$361,Dashboard!$E$6))*Data!$K$2:$K$361)/SUMPRODUCT((Data!$A$2:$A$361=IF(Dashboard!$B$6="All",Data!$A$2:$A$361,Dashboard!$B$6))*(Data!$L$2:$L$361=IF(Dashboard!$C$6="All",Data!$L$2:$L$361,Dashboard!$C$6))*(Data!$D$2:$D$361=IF(Dashboard!$D$6="All",Data!$D$2:$D$361,Dashboard!$D$6))*(Data!$C$2:$C$361=IF(Dashboard!$E$6="All",Data!$C$2:$C$361,Dashboard!$E$6))*1),0)</f>
        <v>61.264999999999993</v>
      </c>
      <c r="P4" t="s">
        <v>74</v>
      </c>
      <c r="Q4" t="str">
        <f>INDEX(Data!$D$2:$D$361,MATCH(P4,Data!$C$2:$C$361,0))</f>
        <v>No</v>
      </c>
      <c r="R4" s="24">
        <f>SUMPRODUCT((Data!$C$2:$C$361=P4)*(Data!$A$2:$A$361=IF(Dashboard!$B$6="All",Data!$A$2:$A$361,Dashboard!$B$6))*(Data!$L$2:$L$361=IF(Dashboard!$C$6="All",Data!$L$2:$L$361,Dashboard!$C$6))*(Data!$D$2:$D$361=IF(Dashboard!$D$6="All",Data!$D$2:$D$361,Dashboard!$D$6))*Data!$E$2:$E$361)</f>
        <v>659865</v>
      </c>
      <c r="S4" s="25">
        <f>SUMPRODUCT((Data!$C$2:$C$361=P4)*(Data!$A$2:$A$361=IF(Dashboard!$B$6="All",Data!$A$2:$A$361,Dashboard!$B$6))*(Data!$L$2:$L$361=IF(Dashboard!$C$6="All",Data!$L$2:$L$361,Dashboard!$C$6))*(Data!$D$2:$D$361=IF(Dashboard!$D$6="All",Data!$D$2:$D$361,Dashboard!$D$6))*Data!$F$2:$F$361)</f>
        <v>514349659.21999991</v>
      </c>
      <c r="T4" s="25">
        <f t="shared" si="0"/>
        <v>779.47710398339041</v>
      </c>
    </row>
    <row r="5" spans="1:20" ht="15" customHeight="1" x14ac:dyDescent="0.35">
      <c r="A5">
        <v>2022</v>
      </c>
      <c r="B5" s="25">
        <f>SUMPRODUCT((Data!$A$2:$A$361=A5)*(Data!$L$2:$L$361=IF(Dashboard!$C$6="All",Data!$L$2:$L$361,Dashboard!$C$6))*(Data!$D$2:$D$361=IF(Dashboard!$D$6="All",Data!$D$2:$D$361,Dashboard!$D$6))*(Data!$C$2:$C$361=IF(Dashboard!$E$6="All",Data!$C$2:$C$361,Dashboard!$E$6))*Data!$F$2:$F$361)</f>
        <v>46407491.840000004</v>
      </c>
      <c r="D5" t="s">
        <v>75</v>
      </c>
      <c r="E5" s="24">
        <f>SUMPRODUCT((Data!$L$2:$L$361=D5)*(Data!$A$2:$A$361=IF(Dashboard!$B$6="All",Data!$A$2:$A$361,Dashboard!$B$6))*(Data!$D$2:$D$361=IF(Dashboard!$D$6="All",Data!$D$2:$D$361,Dashboard!$D$6))*(Data!$C$2:$C$361=IF(Dashboard!$E$6="All",Data!$C$2:$C$361,Dashboard!$E$6))*Data!$E$2:$E$361)</f>
        <v>82530</v>
      </c>
      <c r="G5" t="s">
        <v>76</v>
      </c>
      <c r="H5" s="25">
        <f>SUMPRODUCT((Data!$C$2:$C$361=G5)*(Data!$A$2:$A$361=IF(Dashboard!$B$6="All",Data!$A$2:$A$361,Dashboard!$B$6))*(Data!$L$2:$L$361=IF(Dashboard!$C$6="All",Data!$L$2:$L$361,Dashboard!$C$6))*(Data!$D$2:$D$361=IF(Dashboard!$D$6="All",Data!$D$2:$D$361,Dashboard!$D$6))*Data!$F$2:$F$361)</f>
        <v>617986264.64999998</v>
      </c>
      <c r="M5" t="s">
        <v>10</v>
      </c>
      <c r="N5" s="26">
        <f>IFERROR(SUMPRODUCT((Data!$A$2:$A$361=IF(Dashboard!$B$6="All",Data!$A$2:$A$361,Dashboard!$B$6))*(Data!$L$2:$L$361=IF(Dashboard!$C$6="All",Data!$L$2:$L$361,Dashboard!$C$6))*(Data!$D$2:$D$361=IF(Dashboard!$D$6="All",Data!$D$2:$D$361,Dashboard!$D$6))*(Data!$C$2:$C$361=IF(Dashboard!$E$6="All",Data!$C$2:$C$361,Dashboard!$E$6))*Data!$G$2:$G$361)/SUMPRODUCT((Data!$A$2:$A$361=IF(Dashboard!$B$6="All",Data!$A$2:$A$361,Dashboard!$B$6))*(Data!$L$2:$L$361=IF(Dashboard!$C$6="All",Data!$L$2:$L$361,Dashboard!$C$6))*(Data!$D$2:$D$361=IF(Dashboard!$D$6="All",Data!$D$2:$D$361,Dashboard!$D$6))*(Data!$C$2:$C$361=IF(Dashboard!$E$6="All",Data!$C$2:$C$361,Dashboard!$E$6))*1),0)</f>
        <v>1.4616666666666671</v>
      </c>
      <c r="P5" t="s">
        <v>76</v>
      </c>
      <c r="Q5" t="str">
        <f>INDEX(Data!$D$2:$D$361,MATCH(P5,Data!$C$2:$C$361,0))</f>
        <v>No</v>
      </c>
      <c r="R5" s="24">
        <f>SUMPRODUCT((Data!$C$2:$C$361=P5)*(Data!$A$2:$A$361=IF(Dashboard!$B$6="All",Data!$A$2:$A$361,Dashboard!$B$6))*(Data!$L$2:$L$361=IF(Dashboard!$C$6="All",Data!$L$2:$L$361,Dashboard!$C$6))*(Data!$D$2:$D$361=IF(Dashboard!$D$6="All",Data!$D$2:$D$361,Dashboard!$D$6))*Data!$E$2:$E$361)</f>
        <v>590448</v>
      </c>
      <c r="S5" s="25">
        <f>SUMPRODUCT((Data!$C$2:$C$361=P5)*(Data!$A$2:$A$361=IF(Dashboard!$B$6="All",Data!$A$2:$A$361,Dashboard!$B$6))*(Data!$L$2:$L$361=IF(Dashboard!$C$6="All",Data!$L$2:$L$361,Dashboard!$C$6))*(Data!$D$2:$D$361=IF(Dashboard!$D$6="All",Data!$D$2:$D$361,Dashboard!$D$6))*Data!$F$2:$F$361)</f>
        <v>617986264.64999998</v>
      </c>
      <c r="T5" s="25">
        <f t="shared" si="0"/>
        <v>1046.6396103467198</v>
      </c>
    </row>
    <row r="6" spans="1:20" ht="15" customHeight="1" x14ac:dyDescent="0.35">
      <c r="A6">
        <v>2023</v>
      </c>
      <c r="B6" s="25">
        <f>SUMPRODUCT((Data!$A$2:$A$361=A6)*(Data!$L$2:$L$361=IF(Dashboard!$C$6="All",Data!$L$2:$L$361,Dashboard!$C$6))*(Data!$D$2:$D$361=IF(Dashboard!$D$6="All",Data!$D$2:$D$361,Dashboard!$D$6))*(Data!$C$2:$C$361=IF(Dashboard!$E$6="All",Data!$C$2:$C$361,Dashboard!$E$6))*Data!$F$2:$F$361)</f>
        <v>66505735.780000001</v>
      </c>
      <c r="D6" t="s">
        <v>77</v>
      </c>
      <c r="E6" s="24">
        <f>SUMPRODUCT((Data!$L$2:$L$361=D6)*(Data!$A$2:$A$361=IF(Dashboard!$B$6="All",Data!$A$2:$A$361,Dashboard!$B$6))*(Data!$D$2:$D$361=IF(Dashboard!$D$6="All",Data!$D$2:$D$361,Dashboard!$D$6))*(Data!$C$2:$C$361=IF(Dashboard!$E$6="All",Data!$C$2:$C$361,Dashboard!$E$6))*Data!$E$2:$E$361)</f>
        <v>270543</v>
      </c>
      <c r="G6" t="s">
        <v>78</v>
      </c>
      <c r="H6" s="25">
        <f>SUMPRODUCT((Data!$C$2:$C$361=G6)*(Data!$A$2:$A$361=IF(Dashboard!$B$6="All",Data!$A$2:$A$361,Dashboard!$B$6))*(Data!$L$2:$L$361=IF(Dashboard!$C$6="All",Data!$L$2:$L$361,Dashboard!$C$6))*(Data!$D$2:$D$361=IF(Dashboard!$D$6="All",Data!$D$2:$D$361,Dashboard!$D$6))*Data!$F$2:$F$361)</f>
        <v>606237536.38</v>
      </c>
      <c r="M6" t="s">
        <v>123</v>
      </c>
      <c r="N6">
        <f>SUMPRODUCT((Data!$A$2:$A$361=IF(Dashboard!$B$6="All",Data!$A$2:$A$361,Dashboard!$B$6))*(Data!$L$2:$L$361=IF(Dashboard!$C$6="All",Data!$L$2:$L$361,Dashboard!$C$6))*(Data!$D$2:$D$361=IF(Dashboard!$D$6="All",Data!$D$2:$D$361,Dashboard!$D$6))*(Data!$C$2:$C$361=IF(Dashboard!$E$6="All",Data!$C$2:$C$361,Dashboard!$E$6))*1)</f>
        <v>24</v>
      </c>
      <c r="P6" t="s">
        <v>78</v>
      </c>
      <c r="Q6" t="str">
        <f>INDEX(Data!$D$2:$D$361,MATCH(P6,Data!$C$2:$C$361,0))</f>
        <v>No</v>
      </c>
      <c r="R6" s="24">
        <f>SUMPRODUCT((Data!$C$2:$C$361=P6)*(Data!$A$2:$A$361=IF(Dashboard!$B$6="All",Data!$A$2:$A$361,Dashboard!$B$6))*(Data!$L$2:$L$361=IF(Dashboard!$C$6="All",Data!$L$2:$L$361,Dashboard!$C$6))*(Data!$D$2:$D$361=IF(Dashboard!$D$6="All",Data!$D$2:$D$361,Dashboard!$D$6))*Data!$E$2:$E$361)</f>
        <v>634849</v>
      </c>
      <c r="S6" s="25">
        <f>SUMPRODUCT((Data!$C$2:$C$361=P6)*(Data!$A$2:$A$361=IF(Dashboard!$B$6="All",Data!$A$2:$A$361,Dashboard!$B$6))*(Data!$L$2:$L$361=IF(Dashboard!$C$6="All",Data!$L$2:$L$361,Dashboard!$C$6))*(Data!$D$2:$D$361=IF(Dashboard!$D$6="All",Data!$D$2:$D$361,Dashboard!$D$6))*Data!$F$2:$F$361)</f>
        <v>606237536.38</v>
      </c>
      <c r="T6" s="25">
        <f t="shared" si="0"/>
        <v>954.93185998560284</v>
      </c>
    </row>
    <row r="7" spans="1:20" ht="15" customHeight="1" x14ac:dyDescent="0.35">
      <c r="A7">
        <v>2024</v>
      </c>
      <c r="B7" s="25">
        <f>SUMPRODUCT((Data!$A$2:$A$361=A7)*(Data!$L$2:$L$361=IF(Dashboard!$C$6="All",Data!$L$2:$L$361,Dashboard!$C$6))*(Data!$D$2:$D$361=IF(Dashboard!$D$6="All",Data!$D$2:$D$361,Dashboard!$D$6))*(Data!$C$2:$C$361=IF(Dashboard!$E$6="All",Data!$C$2:$C$361,Dashboard!$E$6))*Data!$F$2:$F$361)</f>
        <v>128603682.70999999</v>
      </c>
      <c r="G7" t="s">
        <v>79</v>
      </c>
      <c r="H7" s="25">
        <f>SUMPRODUCT((Data!$C$2:$C$361=G7)*(Data!$A$2:$A$361=IF(Dashboard!$B$6="All",Data!$A$2:$A$361,Dashboard!$B$6))*(Data!$L$2:$L$361=IF(Dashboard!$C$6="All",Data!$L$2:$L$361,Dashboard!$C$6))*(Data!$D$2:$D$361=IF(Dashboard!$D$6="All",Data!$D$2:$D$361,Dashboard!$D$6))*Data!$F$2:$F$361)</f>
        <v>716143586.89000022</v>
      </c>
      <c r="P7" t="s">
        <v>79</v>
      </c>
      <c r="Q7" t="str">
        <f>INDEX(Data!$D$2:$D$361,MATCH(P7,Data!$C$2:$C$361,0))</f>
        <v>Yes</v>
      </c>
      <c r="R7" s="24">
        <f>SUMPRODUCT((Data!$C$2:$C$361=P7)*(Data!$A$2:$A$361=IF(Dashboard!$B$6="All",Data!$A$2:$A$361,Dashboard!$B$6))*(Data!$L$2:$L$361=IF(Dashboard!$C$6="All",Data!$L$2:$L$361,Dashboard!$C$6))*(Data!$D$2:$D$361=IF(Dashboard!$D$6="All",Data!$D$2:$D$361,Dashboard!$D$6))*Data!$E$2:$E$361)</f>
        <v>857409</v>
      </c>
      <c r="S7" s="25">
        <f>SUMPRODUCT((Data!$C$2:$C$361=P7)*(Data!$A$2:$A$361=IF(Dashboard!$B$6="All",Data!$A$2:$A$361,Dashboard!$B$6))*(Data!$L$2:$L$361=IF(Dashboard!$C$6="All",Data!$L$2:$L$361,Dashboard!$C$6))*(Data!$D$2:$D$361=IF(Dashboard!$D$6="All",Data!$D$2:$D$361,Dashboard!$D$6))*Data!$F$2:$F$361)</f>
        <v>716143586.89000022</v>
      </c>
      <c r="T7" s="25">
        <f t="shared" si="0"/>
        <v>835.24150888315876</v>
      </c>
    </row>
    <row r="8" spans="1:20" ht="15" customHeight="1" x14ac:dyDescent="0.35">
      <c r="G8" t="s">
        <v>81</v>
      </c>
      <c r="H8" s="25">
        <f>SUMPRODUCT((Data!$C$2:$C$361=G8)*(Data!$A$2:$A$361=IF(Dashboard!$B$6="All",Data!$A$2:$A$361,Dashboard!$B$6))*(Data!$L$2:$L$361=IF(Dashboard!$C$6="All",Data!$L$2:$L$361,Dashboard!$C$6))*(Data!$D$2:$D$361=IF(Dashboard!$D$6="All",Data!$D$2:$D$361,Dashboard!$D$6))*Data!$F$2:$F$361)</f>
        <v>863073279.51999998</v>
      </c>
      <c r="P8" t="s">
        <v>81</v>
      </c>
      <c r="Q8" t="str">
        <f>INDEX(Data!$D$2:$D$361,MATCH(P8,Data!$C$2:$C$361,0))</f>
        <v>Yes</v>
      </c>
      <c r="R8" s="24">
        <f>SUMPRODUCT((Data!$C$2:$C$361=P8)*(Data!$A$2:$A$361=IF(Dashboard!$B$6="All",Data!$A$2:$A$361,Dashboard!$B$6))*(Data!$L$2:$L$361=IF(Dashboard!$C$6="All",Data!$L$2:$L$361,Dashboard!$C$6))*(Data!$D$2:$D$361=IF(Dashboard!$D$6="All",Data!$D$2:$D$361,Dashboard!$D$6))*Data!$E$2:$E$361)</f>
        <v>891357</v>
      </c>
      <c r="S8" s="25">
        <f>SUMPRODUCT((Data!$C$2:$C$361=P8)*(Data!$A$2:$A$361=IF(Dashboard!$B$6="All",Data!$A$2:$A$361,Dashboard!$B$6))*(Data!$L$2:$L$361=IF(Dashboard!$C$6="All",Data!$L$2:$L$361,Dashboard!$C$6))*(Data!$D$2:$D$361=IF(Dashboard!$D$6="All",Data!$D$2:$D$361,Dashboard!$D$6))*Data!$F$2:$F$361)</f>
        <v>863073279.51999998</v>
      </c>
      <c r="T8" s="25">
        <f t="shared" si="0"/>
        <v>968.26891977064179</v>
      </c>
    </row>
    <row r="9" spans="1:20" ht="15" customHeight="1" x14ac:dyDescent="0.35">
      <c r="G9" t="s">
        <v>82</v>
      </c>
      <c r="H9" s="25">
        <f>SUMPRODUCT((Data!$C$2:$C$361=G9)*(Data!$A$2:$A$361=IF(Dashboard!$B$6="All",Data!$A$2:$A$361,Dashboard!$B$6))*(Data!$L$2:$L$361=IF(Dashboard!$C$6="All",Data!$L$2:$L$361,Dashboard!$C$6))*(Data!$D$2:$D$361=IF(Dashboard!$D$6="All",Data!$D$2:$D$361,Dashboard!$D$6))*Data!$F$2:$F$361)</f>
        <v>773100349.05999994</v>
      </c>
      <c r="P9" t="s">
        <v>82</v>
      </c>
      <c r="Q9" t="str">
        <f>INDEX(Data!$D$2:$D$361,MATCH(P9,Data!$C$2:$C$361,0))</f>
        <v>Yes</v>
      </c>
      <c r="R9" s="24">
        <f>SUMPRODUCT((Data!$C$2:$C$361=P9)*(Data!$A$2:$A$361=IF(Dashboard!$B$6="All",Data!$A$2:$A$361,Dashboard!$B$6))*(Data!$L$2:$L$361=IF(Dashboard!$C$6="All",Data!$L$2:$L$361,Dashboard!$C$6))*(Data!$D$2:$D$361=IF(Dashboard!$D$6="All",Data!$D$2:$D$361,Dashboard!$D$6))*Data!$E$2:$E$361)</f>
        <v>909507</v>
      </c>
      <c r="S9" s="25">
        <f>SUMPRODUCT((Data!$C$2:$C$361=P9)*(Data!$A$2:$A$361=IF(Dashboard!$B$6="All",Data!$A$2:$A$361,Dashboard!$B$6))*(Data!$L$2:$L$361=IF(Dashboard!$C$6="All",Data!$L$2:$L$361,Dashboard!$C$6))*(Data!$D$2:$D$361=IF(Dashboard!$D$6="All",Data!$D$2:$D$361,Dashboard!$D$6))*Data!$F$2:$F$361)</f>
        <v>773100349.05999994</v>
      </c>
      <c r="T9" s="25">
        <f t="shared" si="0"/>
        <v>850.0213292036234</v>
      </c>
    </row>
    <row r="10" spans="1:20" ht="15" customHeight="1" x14ac:dyDescent="0.35">
      <c r="G10" t="s">
        <v>84</v>
      </c>
      <c r="H10" s="25">
        <f>SUMPRODUCT((Data!$C$2:$C$361=G10)*(Data!$A$2:$A$361=IF(Dashboard!$B$6="All",Data!$A$2:$A$361,Dashboard!$B$6))*(Data!$L$2:$L$361=IF(Dashboard!$C$6="All",Data!$L$2:$L$361,Dashboard!$C$6))*(Data!$D$2:$D$361=IF(Dashboard!$D$6="All",Data!$D$2:$D$361,Dashboard!$D$6))*Data!$F$2:$F$361)</f>
        <v>824920697.29999995</v>
      </c>
      <c r="P10" t="s">
        <v>84</v>
      </c>
      <c r="Q10" t="str">
        <f>INDEX(Data!$D$2:$D$361,MATCH(P10,Data!$C$2:$C$361,0))</f>
        <v>Yes</v>
      </c>
      <c r="R10" s="24">
        <f>SUMPRODUCT((Data!$C$2:$C$361=P10)*(Data!$A$2:$A$361=IF(Dashboard!$B$6="All",Data!$A$2:$A$361,Dashboard!$B$6))*(Data!$L$2:$L$361=IF(Dashboard!$C$6="All",Data!$L$2:$L$361,Dashboard!$C$6))*(Data!$D$2:$D$361=IF(Dashboard!$D$6="All",Data!$D$2:$D$361,Dashboard!$D$6))*Data!$E$2:$E$361)</f>
        <v>912096</v>
      </c>
      <c r="S10" s="25">
        <f>SUMPRODUCT((Data!$C$2:$C$361=P10)*(Data!$A$2:$A$361=IF(Dashboard!$B$6="All",Data!$A$2:$A$361,Dashboard!$B$6))*(Data!$L$2:$L$361=IF(Dashboard!$C$6="All",Data!$L$2:$L$361,Dashboard!$C$6))*(Data!$D$2:$D$361=IF(Dashboard!$D$6="All",Data!$D$2:$D$361,Dashboard!$D$6))*Data!$F$2:$F$361)</f>
        <v>824920697.29999995</v>
      </c>
      <c r="T10" s="25">
        <f t="shared" si="0"/>
        <v>904.42310601077077</v>
      </c>
    </row>
    <row r="11" spans="1:20" ht="15" customHeight="1" x14ac:dyDescent="0.35">
      <c r="G11" t="s">
        <v>85</v>
      </c>
      <c r="H11" s="25">
        <f>SUMPRODUCT((Data!$C$2:$C$361=G11)*(Data!$A$2:$A$361=IF(Dashboard!$B$6="All",Data!$A$2:$A$361,Dashboard!$B$6))*(Data!$L$2:$L$361=IF(Dashboard!$C$6="All",Data!$L$2:$L$361,Dashboard!$C$6))*(Data!$D$2:$D$361=IF(Dashboard!$D$6="All",Data!$D$2:$D$361,Dashboard!$D$6))*Data!$F$2:$F$361)</f>
        <v>765159008.17999995</v>
      </c>
      <c r="P11" t="s">
        <v>85</v>
      </c>
      <c r="Q11" t="str">
        <f>INDEX(Data!$D$2:$D$361,MATCH(P11,Data!$C$2:$C$361,0))</f>
        <v>Yes</v>
      </c>
      <c r="R11" s="24">
        <f>SUMPRODUCT((Data!$C$2:$C$361=P11)*(Data!$A$2:$A$361=IF(Dashboard!$B$6="All",Data!$A$2:$A$361,Dashboard!$B$6))*(Data!$L$2:$L$361=IF(Dashboard!$C$6="All",Data!$L$2:$L$361,Dashboard!$C$6))*(Data!$D$2:$D$361=IF(Dashboard!$D$6="All",Data!$D$2:$D$361,Dashboard!$D$6))*Data!$E$2:$E$361)</f>
        <v>901892</v>
      </c>
      <c r="S11" s="25">
        <f>SUMPRODUCT((Data!$C$2:$C$361=P11)*(Data!$A$2:$A$361=IF(Dashboard!$B$6="All",Data!$A$2:$A$361,Dashboard!$B$6))*(Data!$L$2:$L$361=IF(Dashboard!$C$6="All",Data!$L$2:$L$361,Dashboard!$C$6))*(Data!$D$2:$D$361=IF(Dashboard!$D$6="All",Data!$D$2:$D$361,Dashboard!$D$6))*Data!$F$2:$F$361)</f>
        <v>765159008.17999995</v>
      </c>
      <c r="T11" s="25">
        <f t="shared" si="0"/>
        <v>848.3931647913497</v>
      </c>
    </row>
    <row r="12" spans="1:20" ht="15" customHeight="1" x14ac:dyDescent="0.35">
      <c r="G12" t="s">
        <v>86</v>
      </c>
      <c r="H12" s="25">
        <f>SUMPRODUCT((Data!$C$2:$C$361=G12)*(Data!$A$2:$A$361=IF(Dashboard!$B$6="All",Data!$A$2:$A$361,Dashboard!$B$6))*(Data!$L$2:$L$361=IF(Dashboard!$C$6="All",Data!$L$2:$L$361,Dashboard!$C$6))*(Data!$D$2:$D$361=IF(Dashboard!$D$6="All",Data!$D$2:$D$361,Dashboard!$D$6))*Data!$F$2:$F$361)</f>
        <v>870634307.42999995</v>
      </c>
      <c r="P12" t="s">
        <v>86</v>
      </c>
      <c r="Q12" t="str">
        <f>INDEX(Data!$D$2:$D$361,MATCH(P12,Data!$C$2:$C$361,0))</f>
        <v>Yes</v>
      </c>
      <c r="R12" s="24">
        <f>SUMPRODUCT((Data!$C$2:$C$361=P12)*(Data!$A$2:$A$361=IF(Dashboard!$B$6="All",Data!$A$2:$A$361,Dashboard!$B$6))*(Data!$L$2:$L$361=IF(Dashboard!$C$6="All",Data!$L$2:$L$361,Dashboard!$C$6))*(Data!$D$2:$D$361=IF(Dashboard!$D$6="All",Data!$D$2:$D$361,Dashboard!$D$6))*Data!$E$2:$E$361)</f>
        <v>703608</v>
      </c>
      <c r="S12" s="25">
        <f>SUMPRODUCT((Data!$C$2:$C$361=P12)*(Data!$A$2:$A$361=IF(Dashboard!$B$6="All",Data!$A$2:$A$361,Dashboard!$B$6))*(Data!$L$2:$L$361=IF(Dashboard!$C$6="All",Data!$L$2:$L$361,Dashboard!$C$6))*(Data!$D$2:$D$361=IF(Dashboard!$D$6="All",Data!$D$2:$D$361,Dashboard!$D$6))*Data!$F$2:$F$361)</f>
        <v>870634307.42999995</v>
      </c>
      <c r="T12" s="25">
        <f t="shared" si="0"/>
        <v>1237.3854581386227</v>
      </c>
    </row>
    <row r="13" spans="1:20" ht="15" customHeight="1" x14ac:dyDescent="0.35">
      <c r="G13" t="s">
        <v>87</v>
      </c>
      <c r="H13" s="25">
        <f>SUMPRODUCT((Data!$C$2:$C$361=G13)*(Data!$A$2:$A$361=IF(Dashboard!$B$6="All",Data!$A$2:$A$361,Dashboard!$B$6))*(Data!$L$2:$L$361=IF(Dashboard!$C$6="All",Data!$L$2:$L$361,Dashboard!$C$6))*(Data!$D$2:$D$361=IF(Dashboard!$D$6="All",Data!$D$2:$D$361,Dashboard!$D$6))*Data!$F$2:$F$361)</f>
        <v>681010938.36999989</v>
      </c>
      <c r="P13" t="s">
        <v>87</v>
      </c>
      <c r="Q13" t="str">
        <f>INDEX(Data!$D$2:$D$361,MATCH(P13,Data!$C$2:$C$361,0))</f>
        <v>Yes</v>
      </c>
      <c r="R13" s="24">
        <f>SUMPRODUCT((Data!$C$2:$C$361=P13)*(Data!$A$2:$A$361=IF(Dashboard!$B$6="All",Data!$A$2:$A$361,Dashboard!$B$6))*(Data!$L$2:$L$361=IF(Dashboard!$C$6="All",Data!$L$2:$L$361,Dashboard!$C$6))*(Data!$D$2:$D$361=IF(Dashboard!$D$6="All",Data!$D$2:$D$361,Dashboard!$D$6))*Data!$E$2:$E$361)</f>
        <v>835964</v>
      </c>
      <c r="S13" s="25">
        <f>SUMPRODUCT((Data!$C$2:$C$361=P13)*(Data!$A$2:$A$361=IF(Dashboard!$B$6="All",Data!$A$2:$A$361,Dashboard!$B$6))*(Data!$L$2:$L$361=IF(Dashboard!$C$6="All",Data!$L$2:$L$361,Dashboard!$C$6))*(Data!$D$2:$D$361=IF(Dashboard!$D$6="All",Data!$D$2:$D$361,Dashboard!$D$6))*Data!$F$2:$F$361)</f>
        <v>681010938.36999989</v>
      </c>
      <c r="T13" s="25">
        <f t="shared" si="0"/>
        <v>814.64146586455865</v>
      </c>
    </row>
    <row r="14" spans="1:20" ht="15" customHeight="1" x14ac:dyDescent="0.35">
      <c r="G14" t="s">
        <v>88</v>
      </c>
      <c r="H14" s="25">
        <f>SUMPRODUCT((Data!$C$2:$C$361=G14)*(Data!$A$2:$A$361=IF(Dashboard!$B$6="All",Data!$A$2:$A$361,Dashboard!$B$6))*(Data!$L$2:$L$361=IF(Dashboard!$C$6="All",Data!$L$2:$L$361,Dashboard!$C$6))*(Data!$D$2:$D$361=IF(Dashboard!$D$6="All",Data!$D$2:$D$361,Dashboard!$D$6))*Data!$F$2:$F$361)</f>
        <v>913122400.15999997</v>
      </c>
      <c r="P14" t="s">
        <v>88</v>
      </c>
      <c r="Q14" t="str">
        <f>INDEX(Data!$D$2:$D$361,MATCH(P14,Data!$C$2:$C$361,0))</f>
        <v>Yes</v>
      </c>
      <c r="R14" s="24">
        <f>SUMPRODUCT((Data!$C$2:$C$361=P14)*(Data!$A$2:$A$361=IF(Dashboard!$B$6="All",Data!$A$2:$A$361,Dashboard!$B$6))*(Data!$L$2:$L$361=IF(Dashboard!$C$6="All",Data!$L$2:$L$361,Dashboard!$C$6))*(Data!$D$2:$D$361=IF(Dashboard!$D$6="All",Data!$D$2:$D$361,Dashboard!$D$6))*Data!$E$2:$E$361)</f>
        <v>879660</v>
      </c>
      <c r="S14" s="25">
        <f>SUMPRODUCT((Data!$C$2:$C$361=P14)*(Data!$A$2:$A$361=IF(Dashboard!$B$6="All",Data!$A$2:$A$361,Dashboard!$B$6))*(Data!$L$2:$L$361=IF(Dashboard!$C$6="All",Data!$L$2:$L$361,Dashboard!$C$6))*(Data!$D$2:$D$361=IF(Dashboard!$D$6="All",Data!$D$2:$D$361,Dashboard!$D$6))*Data!$F$2:$F$361)</f>
        <v>913122400.15999997</v>
      </c>
      <c r="T14" s="25">
        <f t="shared" si="0"/>
        <v>1038.04015205875</v>
      </c>
    </row>
    <row r="15" spans="1:20" ht="15" customHeight="1" x14ac:dyDescent="0.35">
      <c r="G15" t="s">
        <v>89</v>
      </c>
      <c r="H15" s="25">
        <f>SUMPRODUCT((Data!$C$2:$C$361=G15)*(Data!$A$2:$A$361=IF(Dashboard!$B$6="All",Data!$A$2:$A$361,Dashboard!$B$6))*(Data!$L$2:$L$361=IF(Dashboard!$C$6="All",Data!$L$2:$L$361,Dashboard!$C$6))*(Data!$D$2:$D$361=IF(Dashboard!$D$6="All",Data!$D$2:$D$361,Dashboard!$D$6))*Data!$F$2:$F$361)</f>
        <v>894821860.86000013</v>
      </c>
      <c r="P15" t="s">
        <v>89</v>
      </c>
      <c r="Q15" t="str">
        <f>INDEX(Data!$D$2:$D$361,MATCH(P15,Data!$C$2:$C$361,0))</f>
        <v>Yes</v>
      </c>
      <c r="R15" s="24">
        <f>SUMPRODUCT((Data!$C$2:$C$361=P15)*(Data!$A$2:$A$361=IF(Dashboard!$B$6="All",Data!$A$2:$A$361,Dashboard!$B$6))*(Data!$L$2:$L$361=IF(Dashboard!$C$6="All",Data!$L$2:$L$361,Dashboard!$C$6))*(Data!$D$2:$D$361=IF(Dashboard!$D$6="All",Data!$D$2:$D$361,Dashboard!$D$6))*Data!$E$2:$E$361)</f>
        <v>835739</v>
      </c>
      <c r="S15" s="25">
        <f>SUMPRODUCT((Data!$C$2:$C$361=P15)*(Data!$A$2:$A$361=IF(Dashboard!$B$6="All",Data!$A$2:$A$361,Dashboard!$B$6))*(Data!$L$2:$L$361=IF(Dashboard!$C$6="All",Data!$L$2:$L$361,Dashboard!$C$6))*(Data!$D$2:$D$361=IF(Dashboard!$D$6="All",Data!$D$2:$D$361,Dashboard!$D$6))*Data!$F$2:$F$361)</f>
        <v>894821860.86000013</v>
      </c>
      <c r="T15" s="25">
        <f t="shared" si="0"/>
        <v>1070.6953496964964</v>
      </c>
    </row>
    <row r="16" spans="1:20" ht="15" customHeight="1" x14ac:dyDescent="0.35">
      <c r="G16" t="s">
        <v>90</v>
      </c>
      <c r="H16" s="25">
        <f>SUMPRODUCT((Data!$C$2:$C$361=G16)*(Data!$A$2:$A$361=IF(Dashboard!$B$6="All",Data!$A$2:$A$361,Dashboard!$B$6))*(Data!$L$2:$L$361=IF(Dashboard!$C$6="All",Data!$L$2:$L$361,Dashboard!$C$6))*(Data!$D$2:$D$361=IF(Dashboard!$D$6="All",Data!$D$2:$D$361,Dashboard!$D$6))*Data!$F$2:$F$361)</f>
        <v>629567815.68999994</v>
      </c>
      <c r="P16" t="s">
        <v>90</v>
      </c>
      <c r="Q16" t="str">
        <f>INDEX(Data!$D$2:$D$361,MATCH(P16,Data!$C$2:$C$361,0))</f>
        <v>Yes</v>
      </c>
      <c r="R16" s="24">
        <f>SUMPRODUCT((Data!$C$2:$C$361=P16)*(Data!$A$2:$A$361=IF(Dashboard!$B$6="All",Data!$A$2:$A$361,Dashboard!$B$6))*(Data!$L$2:$L$361=IF(Dashboard!$C$6="All",Data!$L$2:$L$361,Dashboard!$C$6))*(Data!$D$2:$D$361=IF(Dashboard!$D$6="All",Data!$D$2:$D$361,Dashboard!$D$6))*Data!$E$2:$E$361)</f>
        <v>832848</v>
      </c>
      <c r="S16" s="25">
        <f>SUMPRODUCT((Data!$C$2:$C$361=P16)*(Data!$A$2:$A$361=IF(Dashboard!$B$6="All",Data!$A$2:$A$361,Dashboard!$B$6))*(Data!$L$2:$L$361=IF(Dashboard!$C$6="All",Data!$L$2:$L$361,Dashboard!$C$6))*(Data!$D$2:$D$361=IF(Dashboard!$D$6="All",Data!$D$2:$D$361,Dashboard!$D$6))*Data!$F$2:$F$361)</f>
        <v>629567815.68999994</v>
      </c>
      <c r="T16" s="25">
        <f t="shared" si="0"/>
        <v>755.92162758390475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/>
  </sheetViews>
  <sheetFormatPr defaultColWidth="8.6328125" defaultRowHeight="14.5" x14ac:dyDescent="0.35"/>
  <sheetData>
    <row r="1" spans="1:4" ht="15" customHeight="1" x14ac:dyDescent="0.35">
      <c r="A1" t="s">
        <v>2</v>
      </c>
      <c r="B1" t="s">
        <v>3</v>
      </c>
      <c r="C1" t="s">
        <v>17</v>
      </c>
      <c r="D1" t="s">
        <v>5</v>
      </c>
    </row>
    <row r="2" spans="1:4" ht="15" customHeight="1" x14ac:dyDescent="0.35">
      <c r="A2" t="s">
        <v>6</v>
      </c>
      <c r="B2" t="s">
        <v>6</v>
      </c>
      <c r="C2" t="s">
        <v>6</v>
      </c>
      <c r="D2" t="s">
        <v>6</v>
      </c>
    </row>
    <row r="3" spans="1:4" ht="15" customHeight="1" x14ac:dyDescent="0.35">
      <c r="A3">
        <v>2019</v>
      </c>
      <c r="B3" t="s">
        <v>70</v>
      </c>
      <c r="C3" t="s">
        <v>80</v>
      </c>
      <c r="D3" t="s">
        <v>68</v>
      </c>
    </row>
    <row r="4" spans="1:4" ht="15" customHeight="1" x14ac:dyDescent="0.35">
      <c r="A4">
        <v>2020</v>
      </c>
      <c r="B4" t="s">
        <v>83</v>
      </c>
      <c r="C4" t="s">
        <v>69</v>
      </c>
      <c r="D4" t="s">
        <v>72</v>
      </c>
    </row>
    <row r="5" spans="1:4" ht="15" customHeight="1" x14ac:dyDescent="0.35">
      <c r="A5">
        <v>2021</v>
      </c>
      <c r="B5" t="s">
        <v>73</v>
      </c>
      <c r="D5" t="s">
        <v>74</v>
      </c>
    </row>
    <row r="6" spans="1:4" ht="15" customHeight="1" x14ac:dyDescent="0.35">
      <c r="A6">
        <v>2022</v>
      </c>
      <c r="B6" t="s">
        <v>75</v>
      </c>
      <c r="D6" t="s">
        <v>76</v>
      </c>
    </row>
    <row r="7" spans="1:4" ht="15" customHeight="1" x14ac:dyDescent="0.35">
      <c r="A7">
        <v>2023</v>
      </c>
      <c r="B7" t="s">
        <v>77</v>
      </c>
      <c r="D7" t="s">
        <v>78</v>
      </c>
    </row>
    <row r="8" spans="1:4" ht="15" customHeight="1" x14ac:dyDescent="0.35">
      <c r="A8">
        <v>2024</v>
      </c>
      <c r="D8" t="s">
        <v>79</v>
      </c>
    </row>
    <row r="9" spans="1:4" ht="15" customHeight="1" x14ac:dyDescent="0.35">
      <c r="D9" t="s">
        <v>81</v>
      </c>
    </row>
    <row r="10" spans="1:4" ht="15" customHeight="1" x14ac:dyDescent="0.35">
      <c r="D10" t="s">
        <v>82</v>
      </c>
    </row>
    <row r="11" spans="1:4" ht="15" customHeight="1" x14ac:dyDescent="0.35">
      <c r="D11" t="s">
        <v>84</v>
      </c>
    </row>
    <row r="12" spans="1:4" ht="15" customHeight="1" x14ac:dyDescent="0.35">
      <c r="D12" t="s">
        <v>85</v>
      </c>
    </row>
    <row r="13" spans="1:4" ht="15" customHeight="1" x14ac:dyDescent="0.35">
      <c r="D13" t="s">
        <v>86</v>
      </c>
    </row>
    <row r="14" spans="1:4" ht="15" customHeight="1" x14ac:dyDescent="0.35">
      <c r="D14" t="s">
        <v>87</v>
      </c>
    </row>
    <row r="15" spans="1:4" ht="15" customHeight="1" x14ac:dyDescent="0.35">
      <c r="D15" t="s">
        <v>88</v>
      </c>
    </row>
    <row r="16" spans="1:4" ht="15" customHeight="1" x14ac:dyDescent="0.35">
      <c r="D16" t="s">
        <v>89</v>
      </c>
    </row>
    <row r="17" spans="4:4" ht="15" customHeight="1" x14ac:dyDescent="0.35">
      <c r="D17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Business Questions</vt:lpstr>
      <vt:lpstr>Data</vt:lpstr>
      <vt:lpstr>Calc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20243644 Ismail Sherif Ismail Biomy aldfrawe</cp:lastModifiedBy>
  <cp:revision>3</cp:revision>
  <dcterms:created xsi:type="dcterms:W3CDTF">2026-09-15T04:12:06Z</dcterms:created>
  <dcterms:modified xsi:type="dcterms:W3CDTF">2026-09-16T15:24:23Z</dcterms:modified>
  <dc:language>en-US</dc:language>
</cp:coreProperties>
</file>